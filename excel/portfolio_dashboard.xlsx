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perties" sheetId="2" state="visible" r:id="rId2"/>
    <sheet name="Occupancy" sheetId="3" state="visible" r:id="rId3"/>
    <sheet name="Delinquency" sheetId="4" state="visible" r:id="rId4"/>
    <sheet name="Financials" sheetId="5" state="visible" r:id="rId5"/>
    <sheet name="Market Comps" sheetId="6" state="visible" r:id="rId6"/>
    <sheet name="CapEx Projects" sheetId="7" state="visible" r:id="rId7"/>
    <sheet name="Dashboard" sheetId="8" state="visible" r:id="rId8"/>
    <sheet name="Acq. Model" sheetId="9" state="visible" r:id="rId9"/>
    <sheet name="Insights" sheetId="10" state="visible" r:id="rId10"/>
  </sheets>
  <definedNames/>
  <calcPr calcId="124519" fullCalcOnLoad="1"/>
</workbook>
</file>

<file path=xl/styles.xml><?xml version="1.0" encoding="utf-8"?>
<styleSheet xmlns="http://schemas.openxmlformats.org/spreadsheetml/2006/main">
  <numFmts count="4">
    <numFmt numFmtId="164" formatCode="$#,##0.00"/>
    <numFmt numFmtId="165" formatCode="yyyy-mm-dd h:mm:ss"/>
    <numFmt numFmtId="166" formatCode="0.0%"/>
    <numFmt numFmtId="167" formatCode="0.00x"/>
  </numFmts>
  <fonts count="22">
    <font>
      <name val="Calibri"/>
      <family val="2"/>
      <color theme="1"/>
      <sz val="11"/>
      <scheme val="minor"/>
    </font>
    <font>
      <name val="Calibri"/>
      <b val="1"/>
      <color rgb="00FFFFFF"/>
      <sz val="20"/>
    </font>
    <font>
      <name val="Calibri"/>
      <color rgb="00D9D9D9"/>
      <sz val="14"/>
    </font>
    <font>
      <name val="Calibri"/>
      <color rgb="00FFFFFF"/>
      <sz val="12"/>
    </font>
    <font>
      <name val="Calibri"/>
      <i val="1"/>
      <color rgb="00B8C2D6"/>
      <sz val="12"/>
    </font>
    <font>
      <name val="Calibri"/>
      <b val="1"/>
      <color rgb="00FFFFFF"/>
      <sz val="11"/>
    </font>
    <font>
      <name val="Calibri"/>
      <sz val="10"/>
    </font>
    <font>
      <name val="Calibri"/>
      <b val="1"/>
      <color rgb="00FFFFFF"/>
      <sz val="10"/>
    </font>
    <font>
      <name val="Calibri"/>
      <b val="1"/>
      <color rgb="00FFFFFF"/>
      <sz val="16"/>
    </font>
    <font>
      <name val="Calibri"/>
      <b val="1"/>
      <color rgb="00FF4D4D"/>
      <sz val="16"/>
    </font>
    <font>
      <name val="Calibri"/>
      <color rgb="00C00000"/>
      <sz val="10"/>
    </font>
    <font>
      <name val="Calibri"/>
      <color rgb="00008000"/>
      <sz val="10"/>
    </font>
    <font>
      <name val="Calibri"/>
      <b val="1"/>
      <color rgb="001B2A4A"/>
      <sz val="18"/>
    </font>
    <font>
      <name val="Calibri"/>
      <color rgb="00666666"/>
      <sz val="11"/>
    </font>
    <font>
      <name val="Calibri"/>
      <i val="1"/>
      <color rgb="00666666"/>
      <sz val="10"/>
    </font>
    <font>
      <name val="Calibri"/>
      <b val="1"/>
      <color rgb="001B2A4A"/>
      <sz val="12"/>
    </font>
    <font>
      <name val="Calibri"/>
      <b val="1"/>
      <color rgb="009C0006"/>
      <sz val="10"/>
    </font>
    <font>
      <name val="Calibri"/>
      <b val="1"/>
      <sz val="10"/>
    </font>
    <font>
      <name val="Calibri"/>
      <b val="1"/>
      <color rgb="001B2A4A"/>
      <sz val="16"/>
    </font>
    <font>
      <name val="Calibri"/>
      <b val="1"/>
      <color rgb="00FFFFFF"/>
      <sz val="12"/>
    </font>
    <font>
      <name val="Calibri"/>
      <b val="1"/>
      <color rgb="00000000"/>
      <sz val="10"/>
    </font>
    <font>
      <name val="Calibri"/>
      <i val="1"/>
      <sz val="10"/>
    </font>
  </fonts>
  <fills count="14">
    <fill>
      <patternFill/>
    </fill>
    <fill>
      <patternFill patternType="gray125"/>
    </fill>
    <fill>
      <patternFill patternType="solid">
        <fgColor rgb="001B2A4A"/>
      </patternFill>
    </fill>
    <fill>
      <patternFill patternType="solid">
        <fgColor rgb="00FFFFFF"/>
      </patternFill>
    </fill>
    <fill>
      <patternFill patternType="solid">
        <fgColor rgb="00D9EAF7"/>
      </patternFill>
    </fill>
    <fill>
      <patternFill patternType="solid">
        <fgColor rgb="00F5F5F5"/>
      </patternFill>
    </fill>
    <fill>
      <patternFill patternType="solid">
        <fgColor rgb="00DDF3D8"/>
      </patternFill>
    </fill>
    <fill>
      <patternFill patternType="solid">
        <fgColor rgb="00FFC7CE"/>
      </patternFill>
    </fill>
    <fill>
      <patternFill patternType="solid">
        <fgColor rgb="00FFEB9C"/>
      </patternFill>
    </fill>
    <fill>
      <patternFill patternType="solid">
        <fgColor rgb="00C6EFCE"/>
      </patternFill>
    </fill>
    <fill>
      <patternFill patternType="solid">
        <fgColor rgb="00F4B942"/>
      </patternFill>
    </fill>
    <fill>
      <patternFill patternType="solid">
        <fgColor rgb="002E7D32"/>
      </patternFill>
    </fill>
    <fill>
      <patternFill patternType="solid">
        <fgColor rgb="00A9D18E"/>
      </patternFill>
    </fill>
    <fill>
      <patternFill patternType="solid">
        <fgColor rgb="00FFF2CC"/>
      </patternFill>
    </fill>
  </fills>
  <borders count="3">
    <border>
      <left/>
      <right/>
      <top/>
      <bottom/>
      <diagonal/>
    </border>
    <border>
      <left style="thin">
        <color rgb="00D9D9D9"/>
      </left>
      <right style="thin">
        <color rgb="00D9D9D9"/>
      </right>
      <top style="thin">
        <color rgb="00D9D9D9"/>
      </top>
      <bottom style="thin">
        <color rgb="00D9D9D9"/>
      </bottom>
    </border>
    <border>
      <left style="medium">
        <color rgb="001B2A4A"/>
      </left>
      <right style="medium">
        <color rgb="001B2A4A"/>
      </right>
      <top style="medium">
        <color rgb="001B2A4A"/>
      </top>
      <bottom style="medium">
        <color rgb="001B2A4A"/>
      </bottom>
    </border>
  </borders>
  <cellStyleXfs count="1">
    <xf numFmtId="0" fontId="0" fillId="0" borderId="0"/>
  </cellStyleXfs>
  <cellXfs count="68">
    <xf numFmtId="0" fontId="0" fillId="0" borderId="0" pivotButton="0" quotePrefix="0" xfId="0"/>
    <xf numFmtId="0" fontId="0" fillId="2"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1" applyAlignment="1" pivotButton="0" quotePrefix="0" xfId="0">
      <alignment horizontal="center" vertical="center"/>
    </xf>
    <xf numFmtId="0" fontId="6" fillId="3" borderId="1" applyAlignment="1" pivotButton="0" quotePrefix="0" xfId="0">
      <alignment horizontal="left" vertical="center"/>
    </xf>
    <xf numFmtId="0" fontId="6" fillId="4" borderId="1" applyAlignment="1" pivotButton="0" quotePrefix="0" xfId="0">
      <alignment horizontal="left" vertical="center"/>
    </xf>
    <xf numFmtId="164" fontId="6" fillId="3" borderId="1" applyAlignment="1" pivotButton="0" quotePrefix="0" xfId="0">
      <alignment horizontal="left" vertical="center"/>
    </xf>
    <xf numFmtId="0" fontId="6" fillId="5" borderId="1" applyAlignment="1" pivotButton="0" quotePrefix="0" xfId="0">
      <alignment horizontal="left" vertical="center"/>
    </xf>
    <xf numFmtId="164" fontId="6" fillId="5" borderId="1" applyAlignment="1" pivotButton="0" quotePrefix="0" xfId="0">
      <alignment horizontal="left" vertical="center"/>
    </xf>
    <xf numFmtId="0" fontId="6" fillId="6" borderId="1" applyAlignment="1" pivotButton="0" quotePrefix="0" xfId="0">
      <alignment horizontal="left" vertical="center"/>
    </xf>
    <xf numFmtId="0" fontId="6" fillId="0" borderId="1" applyAlignment="1" pivotButton="0" quotePrefix="0" xfId="0">
      <alignment horizontal="left" vertical="center"/>
    </xf>
    <xf numFmtId="17" fontId="6" fillId="0" borderId="1" applyAlignment="1" pivotButton="0" quotePrefix="0" xfId="0">
      <alignment horizontal="left" vertical="center"/>
    </xf>
    <xf numFmtId="166" fontId="6" fillId="0" borderId="1" applyAlignment="1" pivotButton="0" quotePrefix="0" xfId="0">
      <alignment horizontal="left" vertical="center"/>
    </xf>
    <xf numFmtId="0" fontId="6" fillId="7" borderId="1" applyAlignment="1" pivotButton="0" quotePrefix="0" xfId="0">
      <alignment horizontal="left" vertical="center"/>
    </xf>
    <xf numFmtId="0" fontId="6" fillId="8" borderId="1" applyAlignment="1" pivotButton="0" quotePrefix="0" xfId="0">
      <alignment horizontal="left" vertical="center"/>
    </xf>
    <xf numFmtId="0" fontId="6" fillId="9" borderId="1" applyAlignment="1" pivotButton="0" quotePrefix="0" xfId="0">
      <alignment horizontal="left" vertical="center"/>
    </xf>
    <xf numFmtId="164" fontId="6" fillId="0" borderId="1" applyAlignment="1" pivotButton="0" quotePrefix="0" xfId="0">
      <alignment horizontal="left" vertical="center"/>
    </xf>
    <xf numFmtId="0" fontId="6" fillId="10" borderId="1" applyAlignment="1" pivotButton="0" quotePrefix="0" xfId="0">
      <alignment horizontal="left" vertical="center"/>
    </xf>
    <xf numFmtId="166" fontId="6" fillId="9" borderId="1" applyAlignment="1" pivotButton="0" quotePrefix="0" xfId="0">
      <alignment horizontal="left" vertical="center"/>
    </xf>
    <xf numFmtId="166" fontId="6" fillId="8" borderId="1" applyAlignment="1" pivotButton="0" quotePrefix="0" xfId="0">
      <alignment horizontal="left" vertical="center"/>
    </xf>
    <xf numFmtId="166" fontId="6" fillId="7" borderId="1" applyAlignment="1" pivotButton="0" quotePrefix="0" xfId="0">
      <alignment horizontal="left" vertical="center"/>
    </xf>
    <xf numFmtId="0" fontId="7" fillId="11" borderId="1" applyAlignment="1" pivotButton="0" quotePrefix="0" xfId="0">
      <alignment horizontal="left" vertical="center"/>
    </xf>
    <xf numFmtId="0" fontId="6" fillId="12" borderId="1" applyAlignment="1" pivotButton="0" quotePrefix="0" xfId="0">
      <alignment horizontal="left" vertical="center"/>
    </xf>
    <xf numFmtId="0" fontId="5" fillId="2" borderId="2" applyAlignment="1" pivotButton="0" quotePrefix="0" xfId="0">
      <alignment horizontal="center" vertical="center"/>
    </xf>
    <xf numFmtId="0" fontId="0" fillId="2" borderId="2" pivotButton="0" quotePrefix="0" xfId="0"/>
    <xf numFmtId="164" fontId="8" fillId="2" borderId="2" applyAlignment="1" pivotButton="0" quotePrefix="0" xfId="0">
      <alignment horizontal="center" vertical="center"/>
    </xf>
    <xf numFmtId="164" fontId="9" fillId="2" borderId="2" applyAlignment="1" pivotButton="0" quotePrefix="0" xfId="0">
      <alignment horizontal="center" vertical="center"/>
    </xf>
    <xf numFmtId="1" fontId="8" fillId="2" borderId="2" applyAlignment="1" pivotButton="0" quotePrefix="0" xfId="0">
      <alignment horizontal="center" vertical="center"/>
    </xf>
    <xf numFmtId="164" fontId="10" fillId="0" borderId="1" applyAlignment="1" pivotButton="0" quotePrefix="0" xfId="0">
      <alignment horizontal="left" vertical="center"/>
    </xf>
    <xf numFmtId="164" fontId="11" fillId="0" borderId="1" applyAlignment="1" pivotButton="0" quotePrefix="0" xfId="0">
      <alignment horizontal="left" vertical="center"/>
    </xf>
    <xf numFmtId="0" fontId="12" fillId="0" borderId="0" applyAlignment="1" pivotButton="0" quotePrefix="0" xfId="0">
      <alignment horizontal="left" vertical="center"/>
    </xf>
    <xf numFmtId="0" fontId="13" fillId="0" borderId="0" applyAlignment="1" pivotButton="0" quotePrefix="0" xfId="0">
      <alignment horizontal="left" vertical="center"/>
    </xf>
    <xf numFmtId="0" fontId="7" fillId="2" borderId="2" applyAlignment="1" pivotButton="0" quotePrefix="0" xfId="0">
      <alignment horizontal="center" vertical="center" wrapText="1"/>
    </xf>
    <xf numFmtId="3" fontId="8" fillId="2" borderId="2" applyAlignment="1" pivotButton="0" quotePrefix="0" xfId="0">
      <alignment horizontal="center" vertical="center"/>
    </xf>
    <xf numFmtId="166" fontId="8" fillId="2" borderId="2" applyAlignment="1" pivotButton="0" quotePrefix="0" xfId="0">
      <alignment horizontal="center" vertical="center"/>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7" borderId="1" applyAlignment="1" pivotButton="0" quotePrefix="0" xfId="0">
      <alignment horizontal="left" vertical="center"/>
    </xf>
    <xf numFmtId="0" fontId="17" fillId="10" borderId="1" applyAlignment="1" pivotButton="0" quotePrefix="0" xfId="0">
      <alignment horizontal="left" vertical="center"/>
    </xf>
    <xf numFmtId="0" fontId="17" fillId="8" borderId="1" applyAlignment="1" pivotButton="0" quotePrefix="0" xfId="0">
      <alignment horizontal="left" vertical="center"/>
    </xf>
    <xf numFmtId="0" fontId="14" fillId="0" borderId="0" pivotButton="0" quotePrefix="0" xfId="0"/>
    <xf numFmtId="0" fontId="15" fillId="0" borderId="0" pivotButton="0" quotePrefix="0" xfId="0"/>
    <xf numFmtId="0" fontId="6" fillId="0" borderId="1" applyAlignment="1" pivotButton="0" quotePrefix="0" xfId="0">
      <alignment vertical="center"/>
    </xf>
    <xf numFmtId="166" fontId="6" fillId="0" borderId="1" applyAlignment="1" pivotButton="0" quotePrefix="0" xfId="0">
      <alignment vertical="center"/>
    </xf>
    <xf numFmtId="0" fontId="18" fillId="0" borderId="0" applyAlignment="1" pivotButton="0" quotePrefix="0" xfId="0">
      <alignment horizontal="left" vertical="center"/>
    </xf>
    <xf numFmtId="0" fontId="19" fillId="2" borderId="0" applyAlignment="1" pivotButton="0" quotePrefix="0" xfId="0">
      <alignment horizontal="left" vertical="center"/>
    </xf>
    <xf numFmtId="0" fontId="5" fillId="2" borderId="1" pivotButton="0" quotePrefix="0" xfId="0"/>
    <xf numFmtId="0" fontId="6" fillId="0" borderId="1" pivotButton="0" quotePrefix="0" xfId="0"/>
    <xf numFmtId="164" fontId="6" fillId="13" borderId="1" pivotButton="0" quotePrefix="0" xfId="0"/>
    <xf numFmtId="1" fontId="6" fillId="13" borderId="1" pivotButton="0" quotePrefix="0" xfId="0"/>
    <xf numFmtId="166" fontId="6" fillId="13" borderId="1" pivotButton="0" quotePrefix="0" xfId="0"/>
    <xf numFmtId="10" fontId="6" fillId="13" borderId="1" pivotButton="0" quotePrefix="0" xfId="0"/>
    <xf numFmtId="1" fontId="6" fillId="0" borderId="1" pivotButton="0" quotePrefix="0" xfId="0"/>
    <xf numFmtId="166" fontId="6" fillId="0" borderId="1" pivotButton="0" quotePrefix="0" xfId="0"/>
    <xf numFmtId="164" fontId="6" fillId="0" borderId="1" pivotButton="0" quotePrefix="0" xfId="0"/>
    <xf numFmtId="0" fontId="19" fillId="2" borderId="0" pivotButton="0" quotePrefix="0" xfId="0"/>
    <xf numFmtId="167" fontId="6" fillId="0" borderId="1" pivotButton="0" quotePrefix="0" xfId="0"/>
    <xf numFmtId="0" fontId="17" fillId="0" borderId="0" pivotButton="0" quotePrefix="0" xfId="0"/>
    <xf numFmtId="9" fontId="0" fillId="0" borderId="0" pivotButton="0" quotePrefix="0" xfId="0"/>
    <xf numFmtId="10" fontId="6" fillId="0" borderId="1" pivotButton="0" quotePrefix="0" xfId="0"/>
    <xf numFmtId="0" fontId="5" fillId="2" borderId="1" applyAlignment="1" pivotButton="0" quotePrefix="0" xfId="0">
      <alignment horizontal="left" vertical="top" wrapText="1"/>
    </xf>
    <xf numFmtId="0" fontId="0" fillId="0" borderId="1" pivotButton="0" quotePrefix="0" xfId="0"/>
    <xf numFmtId="0" fontId="20" fillId="4" borderId="1" applyAlignment="1" pivotButton="0" quotePrefix="0" xfId="0">
      <alignment horizontal="left" vertical="top" wrapText="1"/>
    </xf>
    <xf numFmtId="0" fontId="6" fillId="3" borderId="1" applyAlignment="1" pivotButton="0" quotePrefix="0" xfId="0">
      <alignment horizontal="left" vertical="top" wrapText="1"/>
    </xf>
    <xf numFmtId="0" fontId="21" fillId="6" borderId="1" applyAlignment="1" pivotButton="0" quotePrefix="0" xfId="0">
      <alignment horizontal="lef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J34"/>
  <sheetViews>
    <sheetView workbookViewId="0">
      <selection activeCell="A1" sqref="A1"/>
    </sheetView>
  </sheetViews>
  <sheetFormatPr baseColWidth="8" defaultRowHeight="15"/>
  <cols>
    <col width="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 customWidth="1" min="10" max="10"/>
  </cols>
  <sheetData>
    <row r="1">
      <c r="A1" s="1" t="n"/>
      <c r="B1" s="1" t="n"/>
      <c r="C1" s="1" t="n"/>
      <c r="D1" s="1" t="n"/>
      <c r="E1" s="1" t="n"/>
      <c r="F1" s="1" t="n"/>
      <c r="G1" s="1" t="n"/>
      <c r="H1" s="1" t="n"/>
      <c r="I1" s="1" t="n"/>
      <c r="J1" s="1" t="n"/>
    </row>
    <row r="2">
      <c r="A2" s="1" t="n"/>
      <c r="B2" s="1" t="n"/>
      <c r="C2" s="1" t="n"/>
      <c r="D2" s="1" t="n"/>
      <c r="E2" s="1" t="n"/>
      <c r="F2" s="1" t="n"/>
      <c r="G2" s="1" t="n"/>
      <c r="H2" s="1" t="n"/>
      <c r="I2" s="1" t="n"/>
      <c r="J2" s="1" t="n"/>
    </row>
    <row r="3">
      <c r="A3" s="1" t="n"/>
      <c r="B3" s="1" t="n"/>
      <c r="C3" s="1" t="n"/>
      <c r="D3" s="1" t="n"/>
      <c r="E3" s="1" t="n"/>
      <c r="F3" s="1" t="n"/>
      <c r="G3" s="1" t="n"/>
      <c r="H3" s="1" t="n"/>
      <c r="I3" s="1" t="n"/>
      <c r="J3" s="1" t="n"/>
    </row>
    <row r="4" ht="34" customHeight="1">
      <c r="A4" s="1" t="n"/>
      <c r="B4" s="2" t="inlineStr">
        <is>
          <t>Real Estate Portfolio Performance &amp; Risk Dashboard</t>
        </is>
      </c>
      <c r="J4" s="1" t="n"/>
    </row>
    <row r="5" ht="34" customHeight="1">
      <c r="A5" s="1" t="n"/>
      <c r="J5" s="1" t="n"/>
    </row>
    <row r="6" ht="34" customHeight="1">
      <c r="A6" s="1" t="n"/>
      <c r="J6" s="1" t="n"/>
    </row>
    <row r="7">
      <c r="A7" s="1" t="n"/>
      <c r="B7" s="1" t="n"/>
      <c r="C7" s="1" t="n"/>
      <c r="D7" s="1" t="n"/>
      <c r="E7" s="1" t="n"/>
      <c r="F7" s="1" t="n"/>
      <c r="G7" s="1" t="n"/>
      <c r="H7" s="1" t="n"/>
      <c r="I7" s="1" t="n"/>
      <c r="J7" s="1" t="n"/>
    </row>
    <row r="8">
      <c r="A8" s="1" t="n"/>
      <c r="B8" s="3" t="inlineStr">
        <is>
          <t>Crystal View Capital / Osprey Management</t>
        </is>
      </c>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4" t="inlineStr">
        <is>
          <t>Portfolio Period: January – December 2024</t>
        </is>
      </c>
      <c r="J11" s="1" t="n"/>
    </row>
    <row r="12">
      <c r="A12" s="1" t="n"/>
      <c r="B12" s="1" t="n"/>
      <c r="C12" s="1" t="n"/>
      <c r="D12" s="1" t="n"/>
      <c r="E12" s="1" t="n"/>
      <c r="F12" s="1" t="n"/>
      <c r="G12" s="1" t="n"/>
      <c r="H12" s="1" t="n"/>
      <c r="I12" s="1" t="n"/>
      <c r="J12" s="1" t="n"/>
    </row>
    <row r="13">
      <c r="A13" s="1" t="n"/>
      <c r="B13" s="5" t="inlineStr">
        <is>
          <t>12 Properties | 2 Asset Types | NV · AZ · NM · UT</t>
        </is>
      </c>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sheetData>
  <mergeCells count="4">
    <mergeCell ref="B11:I11"/>
    <mergeCell ref="B4:I6"/>
    <mergeCell ref="B8:I8"/>
    <mergeCell ref="B13:I13"/>
  </mergeCells>
  <pageMargins left="0.75" right="0.75" top="1" bottom="1" header="0.5" footer="0.5"/>
</worksheet>
</file>

<file path=xl/worksheets/sheet2.xml><?xml version="1.0" encoding="utf-8"?>
<worksheet xmlns="http://schemas.openxmlformats.org/spreadsheetml/2006/main">
  <sheetPr>
    <tabColor rgb="001B2A4A"/>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4" customWidth="1" min="3" max="3"/>
    <col width="16" customWidth="1" min="4" max="4"/>
    <col width="12" customWidth="1" min="5" max="5"/>
    <col width="13" customWidth="1" min="6" max="6"/>
    <col width="15" customWidth="1" min="7" max="7"/>
    <col width="16" customWidth="1" min="8" max="8"/>
  </cols>
  <sheetData>
    <row r="1">
      <c r="A1" s="6" t="inlineStr">
        <is>
          <t>Property ID</t>
        </is>
      </c>
      <c r="B1" s="6" t="inlineStr">
        <is>
          <t>Property Name</t>
        </is>
      </c>
      <c r="C1" s="6" t="inlineStr">
        <is>
          <t>Asset Type</t>
        </is>
      </c>
      <c r="D1" s="6" t="inlineStr">
        <is>
          <t>City</t>
        </is>
      </c>
      <c r="E1" s="6" t="inlineStr">
        <is>
          <t>State</t>
        </is>
      </c>
      <c r="F1" s="6" t="inlineStr">
        <is>
          <t>Total Units</t>
        </is>
      </c>
      <c r="G1" s="6" t="inlineStr">
        <is>
          <t>Year Acquired</t>
        </is>
      </c>
      <c r="H1" s="6" t="inlineStr">
        <is>
          <t>Purchase Price</t>
        </is>
      </c>
    </row>
    <row r="2">
      <c r="A2" s="7" t="inlineStr">
        <is>
          <t>MHC-01</t>
        </is>
      </c>
      <c r="B2" s="7" t="inlineStr">
        <is>
          <t>Sunrise Meadows</t>
        </is>
      </c>
      <c r="C2" s="8" t="inlineStr">
        <is>
          <t>MHC</t>
        </is>
      </c>
      <c r="D2" s="7" t="inlineStr">
        <is>
          <t>Las Vegas</t>
        </is>
      </c>
      <c r="E2" s="7" t="inlineStr">
        <is>
          <t>NV</t>
        </is>
      </c>
      <c r="F2" s="7" t="n">
        <v>120</v>
      </c>
      <c r="G2" s="7" t="n">
        <v>2018</v>
      </c>
      <c r="H2" s="9" t="n">
        <v>9400000</v>
      </c>
    </row>
    <row r="3">
      <c r="A3" s="10" t="inlineStr">
        <is>
          <t>MHC-02</t>
        </is>
      </c>
      <c r="B3" s="10" t="inlineStr">
        <is>
          <t>Desert Palms</t>
        </is>
      </c>
      <c r="C3" s="8" t="inlineStr">
        <is>
          <t>MHC</t>
        </is>
      </c>
      <c r="D3" s="10" t="inlineStr">
        <is>
          <t>Henderson</t>
        </is>
      </c>
      <c r="E3" s="10" t="inlineStr">
        <is>
          <t>NV</t>
        </is>
      </c>
      <c r="F3" s="10" t="n">
        <v>95</v>
      </c>
      <c r="G3" s="10" t="n">
        <v>2019</v>
      </c>
      <c r="H3" s="11" t="n">
        <v>7100000</v>
      </c>
    </row>
    <row r="4">
      <c r="A4" s="7" t="inlineStr">
        <is>
          <t>MHC-03</t>
        </is>
      </c>
      <c r="B4" s="7" t="inlineStr">
        <is>
          <t>Canyon Ridge</t>
        </is>
      </c>
      <c r="C4" s="8" t="inlineStr">
        <is>
          <t>MHC</t>
        </is>
      </c>
      <c r="D4" s="7" t="inlineStr">
        <is>
          <t>Tucson</t>
        </is>
      </c>
      <c r="E4" s="7" t="inlineStr">
        <is>
          <t>AZ</t>
        </is>
      </c>
      <c r="F4" s="7" t="n">
        <v>110</v>
      </c>
      <c r="G4" s="7" t="n">
        <v>2020</v>
      </c>
      <c r="H4" s="9" t="n">
        <v>6900000</v>
      </c>
    </row>
    <row r="5">
      <c r="A5" s="10" t="inlineStr">
        <is>
          <t>MHC-04</t>
        </is>
      </c>
      <c r="B5" s="10" t="inlineStr">
        <is>
          <t>Saguaro Estates</t>
        </is>
      </c>
      <c r="C5" s="8" t="inlineStr">
        <is>
          <t>MHC</t>
        </is>
      </c>
      <c r="D5" s="10" t="inlineStr">
        <is>
          <t>Phoenix</t>
        </is>
      </c>
      <c r="E5" s="10" t="inlineStr">
        <is>
          <t>AZ</t>
        </is>
      </c>
      <c r="F5" s="10" t="n">
        <v>140</v>
      </c>
      <c r="G5" s="10" t="n">
        <v>2017</v>
      </c>
      <c r="H5" s="11" t="n">
        <v>12800000</v>
      </c>
    </row>
    <row r="6">
      <c r="A6" s="7" t="inlineStr">
        <is>
          <t>MHC-05</t>
        </is>
      </c>
      <c r="B6" s="7" t="inlineStr">
        <is>
          <t>Pinon Pines</t>
        </is>
      </c>
      <c r="C6" s="8" t="inlineStr">
        <is>
          <t>MHC</t>
        </is>
      </c>
      <c r="D6" s="7" t="inlineStr">
        <is>
          <t>Albuquerque</t>
        </is>
      </c>
      <c r="E6" s="7" t="inlineStr">
        <is>
          <t>NM</t>
        </is>
      </c>
      <c r="F6" s="7" t="n">
        <v>88</v>
      </c>
      <c r="G6" s="7" t="n">
        <v>2021</v>
      </c>
      <c r="H6" s="9" t="n">
        <v>5950000</v>
      </c>
    </row>
    <row r="7">
      <c r="A7" s="10" t="inlineStr">
        <is>
          <t>MHC-06</t>
        </is>
      </c>
      <c r="B7" s="10" t="inlineStr">
        <is>
          <t>Red Rock Commons</t>
        </is>
      </c>
      <c r="C7" s="8" t="inlineStr">
        <is>
          <t>MHC</t>
        </is>
      </c>
      <c r="D7" s="10" t="inlineStr">
        <is>
          <t>St. George</t>
        </is>
      </c>
      <c r="E7" s="10" t="inlineStr">
        <is>
          <t>UT</t>
        </is>
      </c>
      <c r="F7" s="10" t="n">
        <v>102</v>
      </c>
      <c r="G7" s="10" t="n">
        <v>2018</v>
      </c>
      <c r="H7" s="11" t="n">
        <v>7850000</v>
      </c>
    </row>
    <row r="8">
      <c r="A8" s="7" t="inlineStr">
        <is>
          <t>MHC-07</t>
        </is>
      </c>
      <c r="B8" s="7" t="inlineStr">
        <is>
          <t>Mesa Vista</t>
        </is>
      </c>
      <c r="C8" s="8" t="inlineStr">
        <is>
          <t>MHC</t>
        </is>
      </c>
      <c r="D8" s="7" t="inlineStr">
        <is>
          <t>Mesa</t>
        </is>
      </c>
      <c r="E8" s="7" t="inlineStr">
        <is>
          <t>AZ</t>
        </is>
      </c>
      <c r="F8" s="7" t="n">
        <v>115</v>
      </c>
      <c r="G8" s="7" t="n">
        <v>2019</v>
      </c>
      <c r="H8" s="9" t="n">
        <v>8600000</v>
      </c>
    </row>
    <row r="9">
      <c r="A9" s="10" t="inlineStr">
        <is>
          <t>STG-01</t>
        </is>
      </c>
      <c r="B9" s="10" t="inlineStr">
        <is>
          <t>ClearBox Storage</t>
        </is>
      </c>
      <c r="C9" s="12" t="inlineStr">
        <is>
          <t>Self-Storage</t>
        </is>
      </c>
      <c r="D9" s="10" t="inlineStr">
        <is>
          <t>Las Vegas</t>
        </is>
      </c>
      <c r="E9" s="10" t="inlineStr">
        <is>
          <t>NV</t>
        </is>
      </c>
      <c r="F9" s="10" t="n">
        <v>280</v>
      </c>
      <c r="G9" s="10" t="n">
        <v>2016</v>
      </c>
      <c r="H9" s="11" t="n">
        <v>10500000</v>
      </c>
    </row>
    <row r="10">
      <c r="A10" s="7" t="inlineStr">
        <is>
          <t>STG-02</t>
        </is>
      </c>
      <c r="B10" s="7" t="inlineStr">
        <is>
          <t>SunState Storage</t>
        </is>
      </c>
      <c r="C10" s="12" t="inlineStr">
        <is>
          <t>Self-Storage</t>
        </is>
      </c>
      <c r="D10" s="7" t="inlineStr">
        <is>
          <t>Scottsdale</t>
        </is>
      </c>
      <c r="E10" s="7" t="inlineStr">
        <is>
          <t>AZ</t>
        </is>
      </c>
      <c r="F10" s="7" t="n">
        <v>320</v>
      </c>
      <c r="G10" s="7" t="n">
        <v>2018</v>
      </c>
      <c r="H10" s="9" t="n">
        <v>13900000</v>
      </c>
    </row>
    <row r="11">
      <c r="A11" s="10" t="inlineStr">
        <is>
          <t>STG-03</t>
        </is>
      </c>
      <c r="B11" s="10" t="inlineStr">
        <is>
          <t>Desert Vault</t>
        </is>
      </c>
      <c r="C11" s="12" t="inlineStr">
        <is>
          <t>Self-Storage</t>
        </is>
      </c>
      <c r="D11" s="10" t="inlineStr">
        <is>
          <t>Tucson</t>
        </is>
      </c>
      <c r="E11" s="10" t="inlineStr">
        <is>
          <t>AZ</t>
        </is>
      </c>
      <c r="F11" s="10" t="n">
        <v>240</v>
      </c>
      <c r="G11" s="10" t="n">
        <v>2017</v>
      </c>
      <c r="H11" s="11" t="n">
        <v>9850000</v>
      </c>
    </row>
    <row r="12">
      <c r="A12" s="7" t="inlineStr">
        <is>
          <t>STG-04</t>
        </is>
      </c>
      <c r="B12" s="7" t="inlineStr">
        <is>
          <t>Basin Self Storage</t>
        </is>
      </c>
      <c r="C12" s="12" t="inlineStr">
        <is>
          <t>Self-Storage</t>
        </is>
      </c>
      <c r="D12" s="7" t="inlineStr">
        <is>
          <t>Reno</t>
        </is>
      </c>
      <c r="E12" s="7" t="inlineStr">
        <is>
          <t>NV</t>
        </is>
      </c>
      <c r="F12" s="7" t="n">
        <v>195</v>
      </c>
      <c r="G12" s="7" t="n">
        <v>2022</v>
      </c>
      <c r="H12" s="9" t="n">
        <v>7400000</v>
      </c>
    </row>
    <row r="13">
      <c r="A13" s="10" t="inlineStr">
        <is>
          <t>STG-05</t>
        </is>
      </c>
      <c r="B13" s="10" t="inlineStr">
        <is>
          <t>Summit Storage</t>
        </is>
      </c>
      <c r="C13" s="12" t="inlineStr">
        <is>
          <t>Self-Storage</t>
        </is>
      </c>
      <c r="D13" s="10" t="inlineStr">
        <is>
          <t>Salt Lake City</t>
        </is>
      </c>
      <c r="E13" s="10" t="inlineStr">
        <is>
          <t>UT</t>
        </is>
      </c>
      <c r="F13" s="10" t="n">
        <v>260</v>
      </c>
      <c r="G13" s="10" t="n">
        <v>2019</v>
      </c>
      <c r="H13" s="11" t="n">
        <v>11250000</v>
      </c>
    </row>
  </sheetData>
  <pageMargins left="0.75" right="0.75" top="1" bottom="1" header="0.5" footer="0.5"/>
</worksheet>
</file>

<file path=xl/worksheets/sheet3.xml><?xml version="1.0" encoding="utf-8"?>
<worksheet xmlns="http://schemas.openxmlformats.org/spreadsheetml/2006/main">
  <sheetPr>
    <tabColor rgb="004F81BD"/>
    <outlinePr summaryBelow="1" summaryRight="1"/>
    <pageSetUpPr/>
  </sheetPr>
  <dimension ref="A1:H14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4" customWidth="1" min="3" max="3"/>
    <col width="12" customWidth="1" min="4" max="4"/>
    <col width="16" customWidth="1" min="5" max="5"/>
    <col width="13" customWidth="1" min="6" max="6"/>
    <col width="16" customWidth="1" min="7" max="7"/>
    <col width="17" customWidth="1" min="8" max="8"/>
  </cols>
  <sheetData>
    <row r="1">
      <c r="A1" s="6" t="inlineStr">
        <is>
          <t>Property ID</t>
        </is>
      </c>
      <c r="B1" s="6" t="inlineStr">
        <is>
          <t>Property Name</t>
        </is>
      </c>
      <c r="C1" s="6" t="inlineStr">
        <is>
          <t>Asset Type</t>
        </is>
      </c>
      <c r="D1" s="6" t="inlineStr">
        <is>
          <t>Month</t>
        </is>
      </c>
      <c r="E1" s="6" t="inlineStr">
        <is>
          <t>Occupied Units</t>
        </is>
      </c>
      <c r="F1" s="6" t="inlineStr">
        <is>
          <t>Total Units</t>
        </is>
      </c>
      <c r="G1" s="6" t="inlineStr">
        <is>
          <t>Occupancy Rate</t>
        </is>
      </c>
      <c r="H1" s="6" t="inlineStr">
        <is>
          <t>Flag</t>
        </is>
      </c>
    </row>
    <row r="2">
      <c r="A2" s="13" t="inlineStr">
        <is>
          <t>STG-04</t>
        </is>
      </c>
      <c r="B2" s="13" t="inlineStr">
        <is>
          <t>Basin Self Storage</t>
        </is>
      </c>
      <c r="C2" s="13" t="inlineStr">
        <is>
          <t>Self-Storage</t>
        </is>
      </c>
      <c r="D2" s="14" t="n">
        <v>45292</v>
      </c>
      <c r="E2" s="13" t="n">
        <v>146</v>
      </c>
      <c r="F2" s="13" t="n">
        <v>195</v>
      </c>
      <c r="G2" s="15" t="n">
        <v>0.7487</v>
      </c>
      <c r="H2" s="16" t="inlineStr">
        <is>
          <t>Below Threshold</t>
        </is>
      </c>
    </row>
    <row r="3">
      <c r="A3" s="13" t="inlineStr">
        <is>
          <t>MHC-05</t>
        </is>
      </c>
      <c r="B3" s="13" t="inlineStr">
        <is>
          <t>Pinon Pines</t>
        </is>
      </c>
      <c r="C3" s="13" t="inlineStr">
        <is>
          <t>MHC</t>
        </is>
      </c>
      <c r="D3" s="14" t="n">
        <v>45292</v>
      </c>
      <c r="E3" s="13" t="n">
        <v>69</v>
      </c>
      <c r="F3" s="13" t="n">
        <v>88</v>
      </c>
      <c r="G3" s="15" t="n">
        <v>0.7841</v>
      </c>
      <c r="H3" s="16" t="inlineStr">
        <is>
          <t>Below Threshold</t>
        </is>
      </c>
    </row>
    <row r="4">
      <c r="A4" s="13" t="inlineStr">
        <is>
          <t>MHC-03</t>
        </is>
      </c>
      <c r="B4" s="13" t="inlineStr">
        <is>
          <t>Canyon Ridge</t>
        </is>
      </c>
      <c r="C4" s="13" t="inlineStr">
        <is>
          <t>MHC</t>
        </is>
      </c>
      <c r="D4" s="14" t="n">
        <v>45292</v>
      </c>
      <c r="E4" s="13" t="n">
        <v>87</v>
      </c>
      <c r="F4" s="13" t="n">
        <v>110</v>
      </c>
      <c r="G4" s="15" t="n">
        <v>0.7909</v>
      </c>
      <c r="H4" s="16" t="inlineStr">
        <is>
          <t>Below Threshold</t>
        </is>
      </c>
    </row>
    <row r="5">
      <c r="A5" s="13" t="inlineStr">
        <is>
          <t>MHC-02</t>
        </is>
      </c>
      <c r="B5" s="13" t="inlineStr">
        <is>
          <t>Desert Palms</t>
        </is>
      </c>
      <c r="C5" s="13" t="inlineStr">
        <is>
          <t>MHC</t>
        </is>
      </c>
      <c r="D5" s="14" t="n">
        <v>45292</v>
      </c>
      <c r="E5" s="13" t="n">
        <v>82</v>
      </c>
      <c r="F5" s="13" t="n">
        <v>95</v>
      </c>
      <c r="G5" s="15" t="n">
        <v>0.8632</v>
      </c>
      <c r="H5" s="16" t="inlineStr">
        <is>
          <t>Below Threshold</t>
        </is>
      </c>
    </row>
    <row r="6">
      <c r="A6" s="13" t="inlineStr">
        <is>
          <t>STG-05</t>
        </is>
      </c>
      <c r="B6" s="13" t="inlineStr">
        <is>
          <t>Summit Storage</t>
        </is>
      </c>
      <c r="C6" s="13" t="inlineStr">
        <is>
          <t>Self-Storage</t>
        </is>
      </c>
      <c r="D6" s="14" t="n">
        <v>45292</v>
      </c>
      <c r="E6" s="13" t="n">
        <v>229</v>
      </c>
      <c r="F6" s="13" t="n">
        <v>260</v>
      </c>
      <c r="G6" s="15" t="n">
        <v>0.8808</v>
      </c>
      <c r="H6" s="17" t="inlineStr">
        <is>
          <t>Watch</t>
        </is>
      </c>
    </row>
    <row r="7">
      <c r="A7" s="13" t="inlineStr">
        <is>
          <t>MHC-01</t>
        </is>
      </c>
      <c r="B7" s="13" t="inlineStr">
        <is>
          <t>Sunrise Meadows</t>
        </is>
      </c>
      <c r="C7" s="13" t="inlineStr">
        <is>
          <t>MHC</t>
        </is>
      </c>
      <c r="D7" s="14" t="n">
        <v>45292</v>
      </c>
      <c r="E7" s="13" t="n">
        <v>106</v>
      </c>
      <c r="F7" s="13" t="n">
        <v>120</v>
      </c>
      <c r="G7" s="15" t="n">
        <v>0.8833</v>
      </c>
      <c r="H7" s="17" t="inlineStr">
        <is>
          <t>Watch</t>
        </is>
      </c>
    </row>
    <row r="8">
      <c r="A8" s="13" t="inlineStr">
        <is>
          <t>STG-03</t>
        </is>
      </c>
      <c r="B8" s="13" t="inlineStr">
        <is>
          <t>Desert Vault</t>
        </is>
      </c>
      <c r="C8" s="13" t="inlineStr">
        <is>
          <t>Self-Storage</t>
        </is>
      </c>
      <c r="D8" s="14" t="n">
        <v>45292</v>
      </c>
      <c r="E8" s="13" t="n">
        <v>214</v>
      </c>
      <c r="F8" s="13" t="n">
        <v>240</v>
      </c>
      <c r="G8" s="15" t="n">
        <v>0.8917</v>
      </c>
      <c r="H8" s="17" t="inlineStr">
        <is>
          <t>Watch</t>
        </is>
      </c>
    </row>
    <row r="9">
      <c r="A9" s="13" t="inlineStr">
        <is>
          <t>STG-02</t>
        </is>
      </c>
      <c r="B9" s="13" t="inlineStr">
        <is>
          <t>SunState Storage</t>
        </is>
      </c>
      <c r="C9" s="13" t="inlineStr">
        <is>
          <t>Self-Storage</t>
        </is>
      </c>
      <c r="D9" s="14" t="n">
        <v>45292</v>
      </c>
      <c r="E9" s="13" t="n">
        <v>286</v>
      </c>
      <c r="F9" s="13" t="n">
        <v>320</v>
      </c>
      <c r="G9" s="15" t="n">
        <v>0.8938</v>
      </c>
      <c r="H9" s="17" t="inlineStr">
        <is>
          <t>Watch</t>
        </is>
      </c>
    </row>
    <row r="10">
      <c r="A10" s="13" t="inlineStr">
        <is>
          <t>MHC-06</t>
        </is>
      </c>
      <c r="B10" s="13" t="inlineStr">
        <is>
          <t>Red Rock Commons</t>
        </is>
      </c>
      <c r="C10" s="13" t="inlineStr">
        <is>
          <t>MHC</t>
        </is>
      </c>
      <c r="D10" s="14" t="n">
        <v>45292</v>
      </c>
      <c r="E10" s="13" t="n">
        <v>92</v>
      </c>
      <c r="F10" s="13" t="n">
        <v>102</v>
      </c>
      <c r="G10" s="15" t="n">
        <v>0.902</v>
      </c>
      <c r="H10" s="17" t="inlineStr">
        <is>
          <t>Watch</t>
        </is>
      </c>
    </row>
    <row r="11">
      <c r="A11" s="13" t="inlineStr">
        <is>
          <t>STG-01</t>
        </is>
      </c>
      <c r="B11" s="13" t="inlineStr">
        <is>
          <t>ClearBox Storage</t>
        </is>
      </c>
      <c r="C11" s="13" t="inlineStr">
        <is>
          <t>Self-Storage</t>
        </is>
      </c>
      <c r="D11" s="14" t="n">
        <v>45292</v>
      </c>
      <c r="E11" s="13" t="n">
        <v>254</v>
      </c>
      <c r="F11" s="13" t="n">
        <v>280</v>
      </c>
      <c r="G11" s="15" t="n">
        <v>0.9071</v>
      </c>
      <c r="H11" s="17" t="inlineStr">
        <is>
          <t>Watch</t>
        </is>
      </c>
    </row>
    <row r="12">
      <c r="A12" s="13" t="inlineStr">
        <is>
          <t>MHC-04</t>
        </is>
      </c>
      <c r="B12" s="13" t="inlineStr">
        <is>
          <t>Saguaro Estates</t>
        </is>
      </c>
      <c r="C12" s="13" t="inlineStr">
        <is>
          <t>MHC</t>
        </is>
      </c>
      <c r="D12" s="14" t="n">
        <v>45292</v>
      </c>
      <c r="E12" s="13" t="n">
        <v>131</v>
      </c>
      <c r="F12" s="13" t="n">
        <v>140</v>
      </c>
      <c r="G12" s="15" t="n">
        <v>0.9357</v>
      </c>
      <c r="H12" s="18" t="inlineStr">
        <is>
          <t>On Target</t>
        </is>
      </c>
    </row>
    <row r="13">
      <c r="A13" s="13" t="inlineStr">
        <is>
          <t>MHC-07</t>
        </is>
      </c>
      <c r="B13" s="13" t="inlineStr">
        <is>
          <t>Mesa Vista</t>
        </is>
      </c>
      <c r="C13" s="13" t="inlineStr">
        <is>
          <t>MHC</t>
        </is>
      </c>
      <c r="D13" s="14" t="n">
        <v>45292</v>
      </c>
      <c r="E13" s="13" t="n">
        <v>109</v>
      </c>
      <c r="F13" s="13" t="n">
        <v>115</v>
      </c>
      <c r="G13" s="15" t="n">
        <v>0.9478</v>
      </c>
      <c r="H13" s="18" t="inlineStr">
        <is>
          <t>On Target</t>
        </is>
      </c>
    </row>
    <row r="14">
      <c r="A14" s="13" t="inlineStr">
        <is>
          <t>STG-04</t>
        </is>
      </c>
      <c r="B14" s="13" t="inlineStr">
        <is>
          <t>Basin Self Storage</t>
        </is>
      </c>
      <c r="C14" s="13" t="inlineStr">
        <is>
          <t>Self-Storage</t>
        </is>
      </c>
      <c r="D14" s="14" t="n">
        <v>45323</v>
      </c>
      <c r="E14" s="13" t="n">
        <v>151</v>
      </c>
      <c r="F14" s="13" t="n">
        <v>195</v>
      </c>
      <c r="G14" s="15" t="n">
        <v>0.7744</v>
      </c>
      <c r="H14" s="16" t="inlineStr">
        <is>
          <t>Below Threshold</t>
        </is>
      </c>
    </row>
    <row r="15">
      <c r="A15" s="13" t="inlineStr">
        <is>
          <t>MHC-03</t>
        </is>
      </c>
      <c r="B15" s="13" t="inlineStr">
        <is>
          <t>Canyon Ridge</t>
        </is>
      </c>
      <c r="C15" s="13" t="inlineStr">
        <is>
          <t>MHC</t>
        </is>
      </c>
      <c r="D15" s="14" t="n">
        <v>45323</v>
      </c>
      <c r="E15" s="13" t="n">
        <v>88</v>
      </c>
      <c r="F15" s="13" t="n">
        <v>110</v>
      </c>
      <c r="G15" s="15" t="n">
        <v>0.8</v>
      </c>
      <c r="H15" s="16" t="inlineStr">
        <is>
          <t>Below Threshold</t>
        </is>
      </c>
    </row>
    <row r="16">
      <c r="A16" s="13" t="inlineStr">
        <is>
          <t>MHC-05</t>
        </is>
      </c>
      <c r="B16" s="13" t="inlineStr">
        <is>
          <t>Pinon Pines</t>
        </is>
      </c>
      <c r="C16" s="13" t="inlineStr">
        <is>
          <t>MHC</t>
        </is>
      </c>
      <c r="D16" s="14" t="n">
        <v>45323</v>
      </c>
      <c r="E16" s="13" t="n">
        <v>74</v>
      </c>
      <c r="F16" s="13" t="n">
        <v>88</v>
      </c>
      <c r="G16" s="15" t="n">
        <v>0.8409</v>
      </c>
      <c r="H16" s="16" t="inlineStr">
        <is>
          <t>Below Threshold</t>
        </is>
      </c>
    </row>
    <row r="17">
      <c r="A17" s="13" t="inlineStr">
        <is>
          <t>MHC-02</t>
        </is>
      </c>
      <c r="B17" s="13" t="inlineStr">
        <is>
          <t>Desert Palms</t>
        </is>
      </c>
      <c r="C17" s="13" t="inlineStr">
        <is>
          <t>MHC</t>
        </is>
      </c>
      <c r="D17" s="14" t="n">
        <v>45323</v>
      </c>
      <c r="E17" s="13" t="n">
        <v>82</v>
      </c>
      <c r="F17" s="13" t="n">
        <v>95</v>
      </c>
      <c r="G17" s="15" t="n">
        <v>0.8632</v>
      </c>
      <c r="H17" s="16" t="inlineStr">
        <is>
          <t>Below Threshold</t>
        </is>
      </c>
    </row>
    <row r="18">
      <c r="A18" s="13" t="inlineStr">
        <is>
          <t>STG-05</t>
        </is>
      </c>
      <c r="B18" s="13" t="inlineStr">
        <is>
          <t>Summit Storage</t>
        </is>
      </c>
      <c r="C18" s="13" t="inlineStr">
        <is>
          <t>Self-Storage</t>
        </is>
      </c>
      <c r="D18" s="14" t="n">
        <v>45323</v>
      </c>
      <c r="E18" s="13" t="n">
        <v>228</v>
      </c>
      <c r="F18" s="13" t="n">
        <v>260</v>
      </c>
      <c r="G18" s="15" t="n">
        <v>0.8769</v>
      </c>
      <c r="H18" s="16" t="inlineStr">
        <is>
          <t>Below Threshold</t>
        </is>
      </c>
    </row>
    <row r="19">
      <c r="A19" s="13" t="inlineStr">
        <is>
          <t>MHC-01</t>
        </is>
      </c>
      <c r="B19" s="13" t="inlineStr">
        <is>
          <t>Sunrise Meadows</t>
        </is>
      </c>
      <c r="C19" s="13" t="inlineStr">
        <is>
          <t>MHC</t>
        </is>
      </c>
      <c r="D19" s="14" t="n">
        <v>45323</v>
      </c>
      <c r="E19" s="13" t="n">
        <v>106</v>
      </c>
      <c r="F19" s="13" t="n">
        <v>120</v>
      </c>
      <c r="G19" s="15" t="n">
        <v>0.8833</v>
      </c>
      <c r="H19" s="17" t="inlineStr">
        <is>
          <t>Watch</t>
        </is>
      </c>
    </row>
    <row r="20">
      <c r="A20" s="13" t="inlineStr">
        <is>
          <t>STG-03</t>
        </is>
      </c>
      <c r="B20" s="13" t="inlineStr">
        <is>
          <t>Desert Vault</t>
        </is>
      </c>
      <c r="C20" s="13" t="inlineStr">
        <is>
          <t>Self-Storage</t>
        </is>
      </c>
      <c r="D20" s="14" t="n">
        <v>45323</v>
      </c>
      <c r="E20" s="13" t="n">
        <v>213</v>
      </c>
      <c r="F20" s="13" t="n">
        <v>240</v>
      </c>
      <c r="G20" s="15" t="n">
        <v>0.8875</v>
      </c>
      <c r="H20" s="17" t="inlineStr">
        <is>
          <t>Watch</t>
        </is>
      </c>
    </row>
    <row r="21">
      <c r="A21" s="13" t="inlineStr">
        <is>
          <t>STG-02</t>
        </is>
      </c>
      <c r="B21" s="13" t="inlineStr">
        <is>
          <t>SunState Storage</t>
        </is>
      </c>
      <c r="C21" s="13" t="inlineStr">
        <is>
          <t>Self-Storage</t>
        </is>
      </c>
      <c r="D21" s="14" t="n">
        <v>45323</v>
      </c>
      <c r="E21" s="13" t="n">
        <v>285</v>
      </c>
      <c r="F21" s="13" t="n">
        <v>320</v>
      </c>
      <c r="G21" s="15" t="n">
        <v>0.8905999999999999</v>
      </c>
      <c r="H21" s="17" t="inlineStr">
        <is>
          <t>Watch</t>
        </is>
      </c>
    </row>
    <row r="22">
      <c r="A22" s="13" t="inlineStr">
        <is>
          <t>MHC-06</t>
        </is>
      </c>
      <c r="B22" s="13" t="inlineStr">
        <is>
          <t>Red Rock Commons</t>
        </is>
      </c>
      <c r="C22" s="13" t="inlineStr">
        <is>
          <t>MHC</t>
        </is>
      </c>
      <c r="D22" s="14" t="n">
        <v>45323</v>
      </c>
      <c r="E22" s="13" t="n">
        <v>91</v>
      </c>
      <c r="F22" s="13" t="n">
        <v>102</v>
      </c>
      <c r="G22" s="15" t="n">
        <v>0.8922</v>
      </c>
      <c r="H22" s="17" t="inlineStr">
        <is>
          <t>Watch</t>
        </is>
      </c>
    </row>
    <row r="23">
      <c r="A23" s="13" t="inlineStr">
        <is>
          <t>STG-01</t>
        </is>
      </c>
      <c r="B23" s="13" t="inlineStr">
        <is>
          <t>ClearBox Storage</t>
        </is>
      </c>
      <c r="C23" s="13" t="inlineStr">
        <is>
          <t>Self-Storage</t>
        </is>
      </c>
      <c r="D23" s="14" t="n">
        <v>45323</v>
      </c>
      <c r="E23" s="13" t="n">
        <v>254</v>
      </c>
      <c r="F23" s="13" t="n">
        <v>280</v>
      </c>
      <c r="G23" s="15" t="n">
        <v>0.9071</v>
      </c>
      <c r="H23" s="17" t="inlineStr">
        <is>
          <t>Watch</t>
        </is>
      </c>
    </row>
    <row r="24">
      <c r="A24" s="13" t="inlineStr">
        <is>
          <t>MHC-07</t>
        </is>
      </c>
      <c r="B24" s="13" t="inlineStr">
        <is>
          <t>Mesa Vista</t>
        </is>
      </c>
      <c r="C24" s="13" t="inlineStr">
        <is>
          <t>MHC</t>
        </is>
      </c>
      <c r="D24" s="14" t="n">
        <v>45323</v>
      </c>
      <c r="E24" s="13" t="n">
        <v>106</v>
      </c>
      <c r="F24" s="13" t="n">
        <v>115</v>
      </c>
      <c r="G24" s="15" t="n">
        <v>0.9217</v>
      </c>
      <c r="H24" s="17" t="inlineStr">
        <is>
          <t>Watch</t>
        </is>
      </c>
    </row>
    <row r="25">
      <c r="A25" s="13" t="inlineStr">
        <is>
          <t>MHC-04</t>
        </is>
      </c>
      <c r="B25" s="13" t="inlineStr">
        <is>
          <t>Saguaro Estates</t>
        </is>
      </c>
      <c r="C25" s="13" t="inlineStr">
        <is>
          <t>MHC</t>
        </is>
      </c>
      <c r="D25" s="14" t="n">
        <v>45323</v>
      </c>
      <c r="E25" s="13" t="n">
        <v>134</v>
      </c>
      <c r="F25" s="13" t="n">
        <v>140</v>
      </c>
      <c r="G25" s="15" t="n">
        <v>0.9571</v>
      </c>
      <c r="H25" s="18" t="inlineStr">
        <is>
          <t>On Target</t>
        </is>
      </c>
    </row>
    <row r="26">
      <c r="A26" s="13" t="inlineStr">
        <is>
          <t>STG-04</t>
        </is>
      </c>
      <c r="B26" s="13" t="inlineStr">
        <is>
          <t>Basin Self Storage</t>
        </is>
      </c>
      <c r="C26" s="13" t="inlineStr">
        <is>
          <t>Self-Storage</t>
        </is>
      </c>
      <c r="D26" s="14" t="n">
        <v>45352</v>
      </c>
      <c r="E26" s="13" t="n">
        <v>153</v>
      </c>
      <c r="F26" s="13" t="n">
        <v>195</v>
      </c>
      <c r="G26" s="15" t="n">
        <v>0.7846</v>
      </c>
      <c r="H26" s="16" t="inlineStr">
        <is>
          <t>Below Threshold</t>
        </is>
      </c>
    </row>
    <row r="27">
      <c r="A27" s="13" t="inlineStr">
        <is>
          <t>MHC-03</t>
        </is>
      </c>
      <c r="B27" s="13" t="inlineStr">
        <is>
          <t>Canyon Ridge</t>
        </is>
      </c>
      <c r="C27" s="13" t="inlineStr">
        <is>
          <t>MHC</t>
        </is>
      </c>
      <c r="D27" s="14" t="n">
        <v>45352</v>
      </c>
      <c r="E27" s="13" t="n">
        <v>87</v>
      </c>
      <c r="F27" s="13" t="n">
        <v>110</v>
      </c>
      <c r="G27" s="15" t="n">
        <v>0.7909</v>
      </c>
      <c r="H27" s="16" t="inlineStr">
        <is>
          <t>Below Threshold</t>
        </is>
      </c>
    </row>
    <row r="28">
      <c r="A28" s="13" t="inlineStr">
        <is>
          <t>MHC-05</t>
        </is>
      </c>
      <c r="B28" s="13" t="inlineStr">
        <is>
          <t>Pinon Pines</t>
        </is>
      </c>
      <c r="C28" s="13" t="inlineStr">
        <is>
          <t>MHC</t>
        </is>
      </c>
      <c r="D28" s="14" t="n">
        <v>45352</v>
      </c>
      <c r="E28" s="13" t="n">
        <v>73</v>
      </c>
      <c r="F28" s="13" t="n">
        <v>88</v>
      </c>
      <c r="G28" s="15" t="n">
        <v>0.8295</v>
      </c>
      <c r="H28" s="16" t="inlineStr">
        <is>
          <t>Below Threshold</t>
        </is>
      </c>
    </row>
    <row r="29">
      <c r="A29" s="13" t="inlineStr">
        <is>
          <t>MHC-02</t>
        </is>
      </c>
      <c r="B29" s="13" t="inlineStr">
        <is>
          <t>Desert Palms</t>
        </is>
      </c>
      <c r="C29" s="13" t="inlineStr">
        <is>
          <t>MHC</t>
        </is>
      </c>
      <c r="D29" s="14" t="n">
        <v>45352</v>
      </c>
      <c r="E29" s="13" t="n">
        <v>83</v>
      </c>
      <c r="F29" s="13" t="n">
        <v>95</v>
      </c>
      <c r="G29" s="15" t="n">
        <v>0.8737</v>
      </c>
      <c r="H29" s="16" t="inlineStr">
        <is>
          <t>Below Threshold</t>
        </is>
      </c>
    </row>
    <row r="30">
      <c r="A30" s="13" t="inlineStr">
        <is>
          <t>STG-05</t>
        </is>
      </c>
      <c r="B30" s="13" t="inlineStr">
        <is>
          <t>Summit Storage</t>
        </is>
      </c>
      <c r="C30" s="13" t="inlineStr">
        <is>
          <t>Self-Storage</t>
        </is>
      </c>
      <c r="D30" s="14" t="n">
        <v>45352</v>
      </c>
      <c r="E30" s="13" t="n">
        <v>230</v>
      </c>
      <c r="F30" s="13" t="n">
        <v>260</v>
      </c>
      <c r="G30" s="15" t="n">
        <v>0.8846000000000001</v>
      </c>
      <c r="H30" s="17" t="inlineStr">
        <is>
          <t>Watch</t>
        </is>
      </c>
    </row>
    <row r="31">
      <c r="A31" s="13" t="inlineStr">
        <is>
          <t>STG-03</t>
        </is>
      </c>
      <c r="B31" s="13" t="inlineStr">
        <is>
          <t>Desert Vault</t>
        </is>
      </c>
      <c r="C31" s="13" t="inlineStr">
        <is>
          <t>Self-Storage</t>
        </is>
      </c>
      <c r="D31" s="14" t="n">
        <v>45352</v>
      </c>
      <c r="E31" s="13" t="n">
        <v>213</v>
      </c>
      <c r="F31" s="13" t="n">
        <v>240</v>
      </c>
      <c r="G31" s="15" t="n">
        <v>0.8875</v>
      </c>
      <c r="H31" s="17" t="inlineStr">
        <is>
          <t>Watch</t>
        </is>
      </c>
    </row>
    <row r="32">
      <c r="A32" s="13" t="inlineStr">
        <is>
          <t>STG-02</t>
        </is>
      </c>
      <c r="B32" s="13" t="inlineStr">
        <is>
          <t>SunState Storage</t>
        </is>
      </c>
      <c r="C32" s="13" t="inlineStr">
        <is>
          <t>Self-Storage</t>
        </is>
      </c>
      <c r="D32" s="14" t="n">
        <v>45352</v>
      </c>
      <c r="E32" s="13" t="n">
        <v>287</v>
      </c>
      <c r="F32" s="13" t="n">
        <v>320</v>
      </c>
      <c r="G32" s="15" t="n">
        <v>0.8969</v>
      </c>
      <c r="H32" s="17" t="inlineStr">
        <is>
          <t>Watch</t>
        </is>
      </c>
    </row>
    <row r="33">
      <c r="A33" s="13" t="inlineStr">
        <is>
          <t>MHC-01</t>
        </is>
      </c>
      <c r="B33" s="13" t="inlineStr">
        <is>
          <t>Sunrise Meadows</t>
        </is>
      </c>
      <c r="C33" s="13" t="inlineStr">
        <is>
          <t>MHC</t>
        </is>
      </c>
      <c r="D33" s="14" t="n">
        <v>45352</v>
      </c>
      <c r="E33" s="13" t="n">
        <v>108</v>
      </c>
      <c r="F33" s="13" t="n">
        <v>120</v>
      </c>
      <c r="G33" s="15" t="n">
        <v>0.9</v>
      </c>
      <c r="H33" s="17" t="inlineStr">
        <is>
          <t>Watch</t>
        </is>
      </c>
    </row>
    <row r="34">
      <c r="A34" s="13" t="inlineStr">
        <is>
          <t>STG-01</t>
        </is>
      </c>
      <c r="B34" s="13" t="inlineStr">
        <is>
          <t>ClearBox Storage</t>
        </is>
      </c>
      <c r="C34" s="13" t="inlineStr">
        <is>
          <t>Self-Storage</t>
        </is>
      </c>
      <c r="D34" s="14" t="n">
        <v>45352</v>
      </c>
      <c r="E34" s="13" t="n">
        <v>256</v>
      </c>
      <c r="F34" s="13" t="n">
        <v>280</v>
      </c>
      <c r="G34" s="15" t="n">
        <v>0.9143</v>
      </c>
      <c r="H34" s="17" t="inlineStr">
        <is>
          <t>Watch</t>
        </is>
      </c>
    </row>
    <row r="35">
      <c r="A35" s="13" t="inlineStr">
        <is>
          <t>MHC-06</t>
        </is>
      </c>
      <c r="B35" s="13" t="inlineStr">
        <is>
          <t>Red Rock Commons</t>
        </is>
      </c>
      <c r="C35" s="13" t="inlineStr">
        <is>
          <t>MHC</t>
        </is>
      </c>
      <c r="D35" s="14" t="n">
        <v>45352</v>
      </c>
      <c r="E35" s="13" t="n">
        <v>94</v>
      </c>
      <c r="F35" s="13" t="n">
        <v>102</v>
      </c>
      <c r="G35" s="15" t="n">
        <v>0.9216</v>
      </c>
      <c r="H35" s="17" t="inlineStr">
        <is>
          <t>Watch</t>
        </is>
      </c>
    </row>
    <row r="36">
      <c r="A36" s="13" t="inlineStr">
        <is>
          <t>MHC-04</t>
        </is>
      </c>
      <c r="B36" s="13" t="inlineStr">
        <is>
          <t>Saguaro Estates</t>
        </is>
      </c>
      <c r="C36" s="13" t="inlineStr">
        <is>
          <t>MHC</t>
        </is>
      </c>
      <c r="D36" s="14" t="n">
        <v>45352</v>
      </c>
      <c r="E36" s="13" t="n">
        <v>132</v>
      </c>
      <c r="F36" s="13" t="n">
        <v>140</v>
      </c>
      <c r="G36" s="15" t="n">
        <v>0.9429</v>
      </c>
      <c r="H36" s="18" t="inlineStr">
        <is>
          <t>On Target</t>
        </is>
      </c>
    </row>
    <row r="37">
      <c r="A37" s="13" t="inlineStr">
        <is>
          <t>MHC-07</t>
        </is>
      </c>
      <c r="B37" s="13" t="inlineStr">
        <is>
          <t>Mesa Vista</t>
        </is>
      </c>
      <c r="C37" s="13" t="inlineStr">
        <is>
          <t>MHC</t>
        </is>
      </c>
      <c r="D37" s="14" t="n">
        <v>45352</v>
      </c>
      <c r="E37" s="13" t="n">
        <v>109</v>
      </c>
      <c r="F37" s="13" t="n">
        <v>115</v>
      </c>
      <c r="G37" s="15" t="n">
        <v>0.9478</v>
      </c>
      <c r="H37" s="18" t="inlineStr">
        <is>
          <t>On Target</t>
        </is>
      </c>
    </row>
    <row r="38">
      <c r="A38" s="13" t="inlineStr">
        <is>
          <t>MHC-03</t>
        </is>
      </c>
      <c r="B38" s="13" t="inlineStr">
        <is>
          <t>Canyon Ridge</t>
        </is>
      </c>
      <c r="C38" s="13" t="inlineStr">
        <is>
          <t>MHC</t>
        </is>
      </c>
      <c r="D38" s="14" t="n">
        <v>45383</v>
      </c>
      <c r="E38" s="13" t="n">
        <v>85</v>
      </c>
      <c r="F38" s="13" t="n">
        <v>110</v>
      </c>
      <c r="G38" s="15" t="n">
        <v>0.7727000000000001</v>
      </c>
      <c r="H38" s="16" t="inlineStr">
        <is>
          <t>Below Threshold</t>
        </is>
      </c>
    </row>
    <row r="39">
      <c r="A39" s="13" t="inlineStr">
        <is>
          <t>STG-04</t>
        </is>
      </c>
      <c r="B39" s="13" t="inlineStr">
        <is>
          <t>Basin Self Storage</t>
        </is>
      </c>
      <c r="C39" s="13" t="inlineStr">
        <is>
          <t>Self-Storage</t>
        </is>
      </c>
      <c r="D39" s="14" t="n">
        <v>45383</v>
      </c>
      <c r="E39" s="13" t="n">
        <v>156</v>
      </c>
      <c r="F39" s="13" t="n">
        <v>195</v>
      </c>
      <c r="G39" s="15" t="n">
        <v>0.8</v>
      </c>
      <c r="H39" s="16" t="inlineStr">
        <is>
          <t>Below Threshold</t>
        </is>
      </c>
    </row>
    <row r="40">
      <c r="A40" s="13" t="inlineStr">
        <is>
          <t>MHC-05</t>
        </is>
      </c>
      <c r="B40" s="13" t="inlineStr">
        <is>
          <t>Pinon Pines</t>
        </is>
      </c>
      <c r="C40" s="13" t="inlineStr">
        <is>
          <t>MHC</t>
        </is>
      </c>
      <c r="D40" s="14" t="n">
        <v>45383</v>
      </c>
      <c r="E40" s="13" t="n">
        <v>75</v>
      </c>
      <c r="F40" s="13" t="n">
        <v>88</v>
      </c>
      <c r="G40" s="15" t="n">
        <v>0.8522999999999999</v>
      </c>
      <c r="H40" s="16" t="inlineStr">
        <is>
          <t>Below Threshold</t>
        </is>
      </c>
    </row>
    <row r="41">
      <c r="A41" s="13" t="inlineStr">
        <is>
          <t>MHC-02</t>
        </is>
      </c>
      <c r="B41" s="13" t="inlineStr">
        <is>
          <t>Desert Palms</t>
        </is>
      </c>
      <c r="C41" s="13" t="inlineStr">
        <is>
          <t>MHC</t>
        </is>
      </c>
      <c r="D41" s="14" t="n">
        <v>45383</v>
      </c>
      <c r="E41" s="13" t="n">
        <v>83</v>
      </c>
      <c r="F41" s="13" t="n">
        <v>95</v>
      </c>
      <c r="G41" s="15" t="n">
        <v>0.8737</v>
      </c>
      <c r="H41" s="16" t="inlineStr">
        <is>
          <t>Below Threshold</t>
        </is>
      </c>
    </row>
    <row r="42">
      <c r="A42" s="13" t="inlineStr">
        <is>
          <t>STG-05</t>
        </is>
      </c>
      <c r="B42" s="13" t="inlineStr">
        <is>
          <t>Summit Storage</t>
        </is>
      </c>
      <c r="C42" s="13" t="inlineStr">
        <is>
          <t>Self-Storage</t>
        </is>
      </c>
      <c r="D42" s="14" t="n">
        <v>45383</v>
      </c>
      <c r="E42" s="13" t="n">
        <v>232</v>
      </c>
      <c r="F42" s="13" t="n">
        <v>260</v>
      </c>
      <c r="G42" s="15" t="n">
        <v>0.8923</v>
      </c>
      <c r="H42" s="17" t="inlineStr">
        <is>
          <t>Watch</t>
        </is>
      </c>
    </row>
    <row r="43">
      <c r="A43" s="13" t="inlineStr">
        <is>
          <t>STG-02</t>
        </is>
      </c>
      <c r="B43" s="13" t="inlineStr">
        <is>
          <t>SunState Storage</t>
        </is>
      </c>
      <c r="C43" s="13" t="inlineStr">
        <is>
          <t>Self-Storage</t>
        </is>
      </c>
      <c r="D43" s="14" t="n">
        <v>45383</v>
      </c>
      <c r="E43" s="13" t="n">
        <v>286</v>
      </c>
      <c r="F43" s="13" t="n">
        <v>320</v>
      </c>
      <c r="G43" s="15" t="n">
        <v>0.8938</v>
      </c>
      <c r="H43" s="17" t="inlineStr">
        <is>
          <t>Watch</t>
        </is>
      </c>
    </row>
    <row r="44">
      <c r="A44" s="13" t="inlineStr">
        <is>
          <t>MHC-01</t>
        </is>
      </c>
      <c r="B44" s="13" t="inlineStr">
        <is>
          <t>Sunrise Meadows</t>
        </is>
      </c>
      <c r="C44" s="13" t="inlineStr">
        <is>
          <t>MHC</t>
        </is>
      </c>
      <c r="D44" s="14" t="n">
        <v>45383</v>
      </c>
      <c r="E44" s="13" t="n">
        <v>108</v>
      </c>
      <c r="F44" s="13" t="n">
        <v>120</v>
      </c>
      <c r="G44" s="15" t="n">
        <v>0.9</v>
      </c>
      <c r="H44" s="17" t="inlineStr">
        <is>
          <t>Watch</t>
        </is>
      </c>
    </row>
    <row r="45">
      <c r="A45" s="13" t="inlineStr">
        <is>
          <t>STG-03</t>
        </is>
      </c>
      <c r="B45" s="13" t="inlineStr">
        <is>
          <t>Desert Vault</t>
        </is>
      </c>
      <c r="C45" s="13" t="inlineStr">
        <is>
          <t>Self-Storage</t>
        </is>
      </c>
      <c r="D45" s="14" t="n">
        <v>45383</v>
      </c>
      <c r="E45" s="13" t="n">
        <v>217</v>
      </c>
      <c r="F45" s="13" t="n">
        <v>240</v>
      </c>
      <c r="G45" s="15" t="n">
        <v>0.9042</v>
      </c>
      <c r="H45" s="17" t="inlineStr">
        <is>
          <t>Watch</t>
        </is>
      </c>
    </row>
    <row r="46">
      <c r="A46" s="13" t="inlineStr">
        <is>
          <t>MHC-06</t>
        </is>
      </c>
      <c r="B46" s="13" t="inlineStr">
        <is>
          <t>Red Rock Commons</t>
        </is>
      </c>
      <c r="C46" s="13" t="inlineStr">
        <is>
          <t>MHC</t>
        </is>
      </c>
      <c r="D46" s="14" t="n">
        <v>45383</v>
      </c>
      <c r="E46" s="13" t="n">
        <v>93</v>
      </c>
      <c r="F46" s="13" t="n">
        <v>102</v>
      </c>
      <c r="G46" s="15" t="n">
        <v>0.9118000000000001</v>
      </c>
      <c r="H46" s="17" t="inlineStr">
        <is>
          <t>Watch</t>
        </is>
      </c>
    </row>
    <row r="47">
      <c r="A47" s="13" t="inlineStr">
        <is>
          <t>STG-01</t>
        </is>
      </c>
      <c r="B47" s="13" t="inlineStr">
        <is>
          <t>ClearBox Storage</t>
        </is>
      </c>
      <c r="C47" s="13" t="inlineStr">
        <is>
          <t>Self-Storage</t>
        </is>
      </c>
      <c r="D47" s="14" t="n">
        <v>45383</v>
      </c>
      <c r="E47" s="13" t="n">
        <v>258</v>
      </c>
      <c r="F47" s="13" t="n">
        <v>280</v>
      </c>
      <c r="G47" s="15" t="n">
        <v>0.9214</v>
      </c>
      <c r="H47" s="17" t="inlineStr">
        <is>
          <t>Watch</t>
        </is>
      </c>
    </row>
    <row r="48">
      <c r="A48" s="13" t="inlineStr">
        <is>
          <t>MHC-07</t>
        </is>
      </c>
      <c r="B48" s="13" t="inlineStr">
        <is>
          <t>Mesa Vista</t>
        </is>
      </c>
      <c r="C48" s="13" t="inlineStr">
        <is>
          <t>MHC</t>
        </is>
      </c>
      <c r="D48" s="14" t="n">
        <v>45383</v>
      </c>
      <c r="E48" s="13" t="n">
        <v>107</v>
      </c>
      <c r="F48" s="13" t="n">
        <v>115</v>
      </c>
      <c r="G48" s="15" t="n">
        <v>0.9304</v>
      </c>
      <c r="H48" s="18" t="inlineStr">
        <is>
          <t>On Target</t>
        </is>
      </c>
    </row>
    <row r="49">
      <c r="A49" s="13" t="inlineStr">
        <is>
          <t>MHC-04</t>
        </is>
      </c>
      <c r="B49" s="13" t="inlineStr">
        <is>
          <t>Saguaro Estates</t>
        </is>
      </c>
      <c r="C49" s="13" t="inlineStr">
        <is>
          <t>MHC</t>
        </is>
      </c>
      <c r="D49" s="14" t="n">
        <v>45383</v>
      </c>
      <c r="E49" s="13" t="n">
        <v>134</v>
      </c>
      <c r="F49" s="13" t="n">
        <v>140</v>
      </c>
      <c r="G49" s="15" t="n">
        <v>0.9571</v>
      </c>
      <c r="H49" s="18" t="inlineStr">
        <is>
          <t>On Target</t>
        </is>
      </c>
    </row>
    <row r="50">
      <c r="A50" s="13" t="inlineStr">
        <is>
          <t>MHC-03</t>
        </is>
      </c>
      <c r="B50" s="13" t="inlineStr">
        <is>
          <t>Canyon Ridge</t>
        </is>
      </c>
      <c r="C50" s="13" t="inlineStr">
        <is>
          <t>MHC</t>
        </is>
      </c>
      <c r="D50" s="14" t="n">
        <v>45413</v>
      </c>
      <c r="E50" s="13" t="n">
        <v>87</v>
      </c>
      <c r="F50" s="13" t="n">
        <v>110</v>
      </c>
      <c r="G50" s="15" t="n">
        <v>0.7909</v>
      </c>
      <c r="H50" s="16" t="inlineStr">
        <is>
          <t>Below Threshold</t>
        </is>
      </c>
    </row>
    <row r="51">
      <c r="A51" s="13" t="inlineStr">
        <is>
          <t>STG-04</t>
        </is>
      </c>
      <c r="B51" s="13" t="inlineStr">
        <is>
          <t>Basin Self Storage</t>
        </is>
      </c>
      <c r="C51" s="13" t="inlineStr">
        <is>
          <t>Self-Storage</t>
        </is>
      </c>
      <c r="D51" s="14" t="n">
        <v>45413</v>
      </c>
      <c r="E51" s="13" t="n">
        <v>157</v>
      </c>
      <c r="F51" s="13" t="n">
        <v>195</v>
      </c>
      <c r="G51" s="15" t="n">
        <v>0.8051</v>
      </c>
      <c r="H51" s="16" t="inlineStr">
        <is>
          <t>Below Threshold</t>
        </is>
      </c>
    </row>
    <row r="52">
      <c r="A52" s="13" t="inlineStr">
        <is>
          <t>MHC-05</t>
        </is>
      </c>
      <c r="B52" s="13" t="inlineStr">
        <is>
          <t>Pinon Pines</t>
        </is>
      </c>
      <c r="C52" s="13" t="inlineStr">
        <is>
          <t>MHC</t>
        </is>
      </c>
      <c r="D52" s="14" t="n">
        <v>45413</v>
      </c>
      <c r="E52" s="13" t="n">
        <v>74</v>
      </c>
      <c r="F52" s="13" t="n">
        <v>88</v>
      </c>
      <c r="G52" s="15" t="n">
        <v>0.8409</v>
      </c>
      <c r="H52" s="16" t="inlineStr">
        <is>
          <t>Below Threshold</t>
        </is>
      </c>
    </row>
    <row r="53">
      <c r="A53" s="13" t="inlineStr">
        <is>
          <t>STG-05</t>
        </is>
      </c>
      <c r="B53" s="13" t="inlineStr">
        <is>
          <t>Summit Storage</t>
        </is>
      </c>
      <c r="C53" s="13" t="inlineStr">
        <is>
          <t>Self-Storage</t>
        </is>
      </c>
      <c r="D53" s="14" t="n">
        <v>45413</v>
      </c>
      <c r="E53" s="13" t="n">
        <v>231</v>
      </c>
      <c r="F53" s="13" t="n">
        <v>260</v>
      </c>
      <c r="G53" s="15" t="n">
        <v>0.8885</v>
      </c>
      <c r="H53" s="17" t="inlineStr">
        <is>
          <t>Watch</t>
        </is>
      </c>
    </row>
    <row r="54">
      <c r="A54" s="13" t="inlineStr">
        <is>
          <t>STG-02</t>
        </is>
      </c>
      <c r="B54" s="13" t="inlineStr">
        <is>
          <t>SunState Storage</t>
        </is>
      </c>
      <c r="C54" s="13" t="inlineStr">
        <is>
          <t>Self-Storage</t>
        </is>
      </c>
      <c r="D54" s="14" t="n">
        <v>45413</v>
      </c>
      <c r="E54" s="13" t="n">
        <v>287</v>
      </c>
      <c r="F54" s="13" t="n">
        <v>320</v>
      </c>
      <c r="G54" s="15" t="n">
        <v>0.8969</v>
      </c>
      <c r="H54" s="17" t="inlineStr">
        <is>
          <t>Watch</t>
        </is>
      </c>
    </row>
    <row r="55">
      <c r="A55" s="13" t="inlineStr">
        <is>
          <t>MHC-01</t>
        </is>
      </c>
      <c r="B55" s="13" t="inlineStr">
        <is>
          <t>Sunrise Meadows</t>
        </is>
      </c>
      <c r="C55" s="13" t="inlineStr">
        <is>
          <t>MHC</t>
        </is>
      </c>
      <c r="D55" s="14" t="n">
        <v>45413</v>
      </c>
      <c r="E55" s="13" t="n">
        <v>108</v>
      </c>
      <c r="F55" s="13" t="n">
        <v>120</v>
      </c>
      <c r="G55" s="15" t="n">
        <v>0.9</v>
      </c>
      <c r="H55" s="17" t="inlineStr">
        <is>
          <t>Watch</t>
        </is>
      </c>
    </row>
    <row r="56">
      <c r="A56" s="13" t="inlineStr">
        <is>
          <t>STG-03</t>
        </is>
      </c>
      <c r="B56" s="13" t="inlineStr">
        <is>
          <t>Desert Vault</t>
        </is>
      </c>
      <c r="C56" s="13" t="inlineStr">
        <is>
          <t>Self-Storage</t>
        </is>
      </c>
      <c r="D56" s="14" t="n">
        <v>45413</v>
      </c>
      <c r="E56" s="13" t="n">
        <v>216</v>
      </c>
      <c r="F56" s="13" t="n">
        <v>240</v>
      </c>
      <c r="G56" s="15" t="n">
        <v>0.9</v>
      </c>
      <c r="H56" s="17" t="inlineStr">
        <is>
          <t>Watch</t>
        </is>
      </c>
    </row>
    <row r="57">
      <c r="A57" s="13" t="inlineStr">
        <is>
          <t>MHC-02</t>
        </is>
      </c>
      <c r="B57" s="13" t="inlineStr">
        <is>
          <t>Desert Palms</t>
        </is>
      </c>
      <c r="C57" s="13" t="inlineStr">
        <is>
          <t>MHC</t>
        </is>
      </c>
      <c r="D57" s="14" t="n">
        <v>45413</v>
      </c>
      <c r="E57" s="13" t="n">
        <v>87</v>
      </c>
      <c r="F57" s="13" t="n">
        <v>95</v>
      </c>
      <c r="G57" s="15" t="n">
        <v>0.9157999999999999</v>
      </c>
      <c r="H57" s="17" t="inlineStr">
        <is>
          <t>Watch</t>
        </is>
      </c>
    </row>
    <row r="58">
      <c r="A58" s="13" t="inlineStr">
        <is>
          <t>STG-01</t>
        </is>
      </c>
      <c r="B58" s="13" t="inlineStr">
        <is>
          <t>ClearBox Storage</t>
        </is>
      </c>
      <c r="C58" s="13" t="inlineStr">
        <is>
          <t>Self-Storage</t>
        </is>
      </c>
      <c r="D58" s="14" t="n">
        <v>45413</v>
      </c>
      <c r="E58" s="13" t="n">
        <v>258</v>
      </c>
      <c r="F58" s="13" t="n">
        <v>280</v>
      </c>
      <c r="G58" s="15" t="n">
        <v>0.9214</v>
      </c>
      <c r="H58" s="17" t="inlineStr">
        <is>
          <t>Watch</t>
        </is>
      </c>
    </row>
    <row r="59">
      <c r="A59" s="13" t="inlineStr">
        <is>
          <t>MHC-07</t>
        </is>
      </c>
      <c r="B59" s="13" t="inlineStr">
        <is>
          <t>Mesa Vista</t>
        </is>
      </c>
      <c r="C59" s="13" t="inlineStr">
        <is>
          <t>MHC</t>
        </is>
      </c>
      <c r="D59" s="14" t="n">
        <v>45413</v>
      </c>
      <c r="E59" s="13" t="n">
        <v>107</v>
      </c>
      <c r="F59" s="13" t="n">
        <v>115</v>
      </c>
      <c r="G59" s="15" t="n">
        <v>0.9304</v>
      </c>
      <c r="H59" s="18" t="inlineStr">
        <is>
          <t>On Target</t>
        </is>
      </c>
    </row>
    <row r="60">
      <c r="A60" s="13" t="inlineStr">
        <is>
          <t>MHC-06</t>
        </is>
      </c>
      <c r="B60" s="13" t="inlineStr">
        <is>
          <t>Red Rock Commons</t>
        </is>
      </c>
      <c r="C60" s="13" t="inlineStr">
        <is>
          <t>MHC</t>
        </is>
      </c>
      <c r="D60" s="14" t="n">
        <v>45413</v>
      </c>
      <c r="E60" s="13" t="n">
        <v>95</v>
      </c>
      <c r="F60" s="13" t="n">
        <v>102</v>
      </c>
      <c r="G60" s="15" t="n">
        <v>0.9314</v>
      </c>
      <c r="H60" s="18" t="inlineStr">
        <is>
          <t>On Target</t>
        </is>
      </c>
    </row>
    <row r="61">
      <c r="A61" s="13" t="inlineStr">
        <is>
          <t>MHC-04</t>
        </is>
      </c>
      <c r="B61" s="13" t="inlineStr">
        <is>
          <t>Saguaro Estates</t>
        </is>
      </c>
      <c r="C61" s="13" t="inlineStr">
        <is>
          <t>MHC</t>
        </is>
      </c>
      <c r="D61" s="14" t="n">
        <v>45413</v>
      </c>
      <c r="E61" s="13" t="n">
        <v>135</v>
      </c>
      <c r="F61" s="13" t="n">
        <v>140</v>
      </c>
      <c r="G61" s="15" t="n">
        <v>0.9643</v>
      </c>
      <c r="H61" s="18" t="inlineStr">
        <is>
          <t>On Target</t>
        </is>
      </c>
    </row>
    <row r="62">
      <c r="A62" s="13" t="inlineStr">
        <is>
          <t>MHC-03</t>
        </is>
      </c>
      <c r="B62" s="13" t="inlineStr">
        <is>
          <t>Canyon Ridge</t>
        </is>
      </c>
      <c r="C62" s="13" t="inlineStr">
        <is>
          <t>MHC</t>
        </is>
      </c>
      <c r="D62" s="14" t="n">
        <v>45444</v>
      </c>
      <c r="E62" s="13" t="n">
        <v>89</v>
      </c>
      <c r="F62" s="13" t="n">
        <v>110</v>
      </c>
      <c r="G62" s="15" t="n">
        <v>0.8091</v>
      </c>
      <c r="H62" s="16" t="inlineStr">
        <is>
          <t>Below Threshold</t>
        </is>
      </c>
    </row>
    <row r="63">
      <c r="A63" s="13" t="inlineStr">
        <is>
          <t>STG-04</t>
        </is>
      </c>
      <c r="B63" s="13" t="inlineStr">
        <is>
          <t>Basin Self Storage</t>
        </is>
      </c>
      <c r="C63" s="13" t="inlineStr">
        <is>
          <t>Self-Storage</t>
        </is>
      </c>
      <c r="D63" s="14" t="n">
        <v>45444</v>
      </c>
      <c r="E63" s="13" t="n">
        <v>160</v>
      </c>
      <c r="F63" s="13" t="n">
        <v>195</v>
      </c>
      <c r="G63" s="15" t="n">
        <v>0.8205</v>
      </c>
      <c r="H63" s="16" t="inlineStr">
        <is>
          <t>Below Threshold</t>
        </is>
      </c>
    </row>
    <row r="64">
      <c r="A64" s="13" t="inlineStr">
        <is>
          <t>MHC-05</t>
        </is>
      </c>
      <c r="B64" s="13" t="inlineStr">
        <is>
          <t>Pinon Pines</t>
        </is>
      </c>
      <c r="C64" s="13" t="inlineStr">
        <is>
          <t>MHC</t>
        </is>
      </c>
      <c r="D64" s="14" t="n">
        <v>45444</v>
      </c>
      <c r="E64" s="13" t="n">
        <v>76</v>
      </c>
      <c r="F64" s="13" t="n">
        <v>88</v>
      </c>
      <c r="G64" s="15" t="n">
        <v>0.8636</v>
      </c>
      <c r="H64" s="16" t="inlineStr">
        <is>
          <t>Below Threshold</t>
        </is>
      </c>
    </row>
    <row r="65">
      <c r="A65" s="13" t="inlineStr">
        <is>
          <t>STG-03</t>
        </is>
      </c>
      <c r="B65" s="13" t="inlineStr">
        <is>
          <t>Desert Vault</t>
        </is>
      </c>
      <c r="C65" s="13" t="inlineStr">
        <is>
          <t>Self-Storage</t>
        </is>
      </c>
      <c r="D65" s="14" t="n">
        <v>45444</v>
      </c>
      <c r="E65" s="13" t="n">
        <v>214</v>
      </c>
      <c r="F65" s="13" t="n">
        <v>240</v>
      </c>
      <c r="G65" s="15" t="n">
        <v>0.8917</v>
      </c>
      <c r="H65" s="17" t="inlineStr">
        <is>
          <t>Watch</t>
        </is>
      </c>
    </row>
    <row r="66">
      <c r="A66" s="13" t="inlineStr">
        <is>
          <t>STG-05</t>
        </is>
      </c>
      <c r="B66" s="13" t="inlineStr">
        <is>
          <t>Summit Storage</t>
        </is>
      </c>
      <c r="C66" s="13" t="inlineStr">
        <is>
          <t>Self-Storage</t>
        </is>
      </c>
      <c r="D66" s="14" t="n">
        <v>45444</v>
      </c>
      <c r="E66" s="13" t="n">
        <v>233</v>
      </c>
      <c r="F66" s="13" t="n">
        <v>260</v>
      </c>
      <c r="G66" s="15" t="n">
        <v>0.8962</v>
      </c>
      <c r="H66" s="17" t="inlineStr">
        <is>
          <t>Watch</t>
        </is>
      </c>
    </row>
    <row r="67">
      <c r="A67" s="13" t="inlineStr">
        <is>
          <t>MHC-01</t>
        </is>
      </c>
      <c r="B67" s="13" t="inlineStr">
        <is>
          <t>Sunrise Meadows</t>
        </is>
      </c>
      <c r="C67" s="13" t="inlineStr">
        <is>
          <t>MHC</t>
        </is>
      </c>
      <c r="D67" s="14" t="n">
        <v>45444</v>
      </c>
      <c r="E67" s="13" t="n">
        <v>108</v>
      </c>
      <c r="F67" s="13" t="n">
        <v>120</v>
      </c>
      <c r="G67" s="15" t="n">
        <v>0.9</v>
      </c>
      <c r="H67" s="17" t="inlineStr">
        <is>
          <t>Watch</t>
        </is>
      </c>
    </row>
    <row r="68">
      <c r="A68" s="13" t="inlineStr">
        <is>
          <t>STG-02</t>
        </is>
      </c>
      <c r="B68" s="13" t="inlineStr">
        <is>
          <t>SunState Storage</t>
        </is>
      </c>
      <c r="C68" s="13" t="inlineStr">
        <is>
          <t>Self-Storage</t>
        </is>
      </c>
      <c r="D68" s="14" t="n">
        <v>45444</v>
      </c>
      <c r="E68" s="13" t="n">
        <v>291</v>
      </c>
      <c r="F68" s="13" t="n">
        <v>320</v>
      </c>
      <c r="G68" s="15" t="n">
        <v>0.9094</v>
      </c>
      <c r="H68" s="17" t="inlineStr">
        <is>
          <t>Watch</t>
        </is>
      </c>
    </row>
    <row r="69">
      <c r="A69" s="13" t="inlineStr">
        <is>
          <t>MHC-02</t>
        </is>
      </c>
      <c r="B69" s="13" t="inlineStr">
        <is>
          <t>Desert Palms</t>
        </is>
      </c>
      <c r="C69" s="13" t="inlineStr">
        <is>
          <t>MHC</t>
        </is>
      </c>
      <c r="D69" s="14" t="n">
        <v>45444</v>
      </c>
      <c r="E69" s="13" t="n">
        <v>87</v>
      </c>
      <c r="F69" s="13" t="n">
        <v>95</v>
      </c>
      <c r="G69" s="15" t="n">
        <v>0.9157999999999999</v>
      </c>
      <c r="H69" s="17" t="inlineStr">
        <is>
          <t>Watch</t>
        </is>
      </c>
    </row>
    <row r="70">
      <c r="A70" s="13" t="inlineStr">
        <is>
          <t>STG-01</t>
        </is>
      </c>
      <c r="B70" s="13" t="inlineStr">
        <is>
          <t>ClearBox Storage</t>
        </is>
      </c>
      <c r="C70" s="13" t="inlineStr">
        <is>
          <t>Self-Storage</t>
        </is>
      </c>
      <c r="D70" s="14" t="n">
        <v>45444</v>
      </c>
      <c r="E70" s="13" t="n">
        <v>257</v>
      </c>
      <c r="F70" s="13" t="n">
        <v>280</v>
      </c>
      <c r="G70" s="15" t="n">
        <v>0.9179</v>
      </c>
      <c r="H70" s="17" t="inlineStr">
        <is>
          <t>Watch</t>
        </is>
      </c>
    </row>
    <row r="71">
      <c r="A71" s="13" t="inlineStr">
        <is>
          <t>MHC-06</t>
        </is>
      </c>
      <c r="B71" s="13" t="inlineStr">
        <is>
          <t>Red Rock Commons</t>
        </is>
      </c>
      <c r="C71" s="13" t="inlineStr">
        <is>
          <t>MHC</t>
        </is>
      </c>
      <c r="D71" s="14" t="n">
        <v>45444</v>
      </c>
      <c r="E71" s="13" t="n">
        <v>94</v>
      </c>
      <c r="F71" s="13" t="n">
        <v>102</v>
      </c>
      <c r="G71" s="15" t="n">
        <v>0.9216</v>
      </c>
      <c r="H71" s="17" t="inlineStr">
        <is>
          <t>Watch</t>
        </is>
      </c>
    </row>
    <row r="72">
      <c r="A72" s="13" t="inlineStr">
        <is>
          <t>MHC-07</t>
        </is>
      </c>
      <c r="B72" s="13" t="inlineStr">
        <is>
          <t>Mesa Vista</t>
        </is>
      </c>
      <c r="C72" s="13" t="inlineStr">
        <is>
          <t>MHC</t>
        </is>
      </c>
      <c r="D72" s="14" t="n">
        <v>45444</v>
      </c>
      <c r="E72" s="13" t="n">
        <v>109</v>
      </c>
      <c r="F72" s="13" t="n">
        <v>115</v>
      </c>
      <c r="G72" s="15" t="n">
        <v>0.9478</v>
      </c>
      <c r="H72" s="18" t="inlineStr">
        <is>
          <t>On Target</t>
        </is>
      </c>
    </row>
    <row r="73">
      <c r="A73" s="13" t="inlineStr">
        <is>
          <t>MHC-04</t>
        </is>
      </c>
      <c r="B73" s="13" t="inlineStr">
        <is>
          <t>Saguaro Estates</t>
        </is>
      </c>
      <c r="C73" s="13" t="inlineStr">
        <is>
          <t>MHC</t>
        </is>
      </c>
      <c r="D73" s="14" t="n">
        <v>45444</v>
      </c>
      <c r="E73" s="13" t="n">
        <v>137</v>
      </c>
      <c r="F73" s="13" t="n">
        <v>140</v>
      </c>
      <c r="G73" s="15" t="n">
        <v>0.9786</v>
      </c>
      <c r="H73" s="18" t="inlineStr">
        <is>
          <t>On Target</t>
        </is>
      </c>
    </row>
    <row r="74">
      <c r="A74" s="13" t="inlineStr">
        <is>
          <t>MHC-03</t>
        </is>
      </c>
      <c r="B74" s="13" t="inlineStr">
        <is>
          <t>Canyon Ridge</t>
        </is>
      </c>
      <c r="C74" s="13" t="inlineStr">
        <is>
          <t>MHC</t>
        </is>
      </c>
      <c r="D74" s="14" t="n">
        <v>45474</v>
      </c>
      <c r="E74" s="13" t="n">
        <v>89</v>
      </c>
      <c r="F74" s="13" t="n">
        <v>110</v>
      </c>
      <c r="G74" s="15" t="n">
        <v>0.8091</v>
      </c>
      <c r="H74" s="16" t="inlineStr">
        <is>
          <t>Below Threshold</t>
        </is>
      </c>
    </row>
    <row r="75">
      <c r="A75" s="13" t="inlineStr">
        <is>
          <t>STG-04</t>
        </is>
      </c>
      <c r="B75" s="13" t="inlineStr">
        <is>
          <t>Basin Self Storage</t>
        </is>
      </c>
      <c r="C75" s="13" t="inlineStr">
        <is>
          <t>Self-Storage</t>
        </is>
      </c>
      <c r="D75" s="14" t="n">
        <v>45474</v>
      </c>
      <c r="E75" s="13" t="n">
        <v>160</v>
      </c>
      <c r="F75" s="13" t="n">
        <v>195</v>
      </c>
      <c r="G75" s="15" t="n">
        <v>0.8205</v>
      </c>
      <c r="H75" s="16" t="inlineStr">
        <is>
          <t>Below Threshold</t>
        </is>
      </c>
    </row>
    <row r="76">
      <c r="A76" s="13" t="inlineStr">
        <is>
          <t>MHC-05</t>
        </is>
      </c>
      <c r="B76" s="13" t="inlineStr">
        <is>
          <t>Pinon Pines</t>
        </is>
      </c>
      <c r="C76" s="13" t="inlineStr">
        <is>
          <t>MHC</t>
        </is>
      </c>
      <c r="D76" s="14" t="n">
        <v>45474</v>
      </c>
      <c r="E76" s="13" t="n">
        <v>74</v>
      </c>
      <c r="F76" s="13" t="n">
        <v>88</v>
      </c>
      <c r="G76" s="15" t="n">
        <v>0.8409</v>
      </c>
      <c r="H76" s="16" t="inlineStr">
        <is>
          <t>Below Threshold</t>
        </is>
      </c>
    </row>
    <row r="77">
      <c r="A77" s="13" t="inlineStr">
        <is>
          <t>MHC-02</t>
        </is>
      </c>
      <c r="B77" s="13" t="inlineStr">
        <is>
          <t>Desert Palms</t>
        </is>
      </c>
      <c r="C77" s="13" t="inlineStr">
        <is>
          <t>MHC</t>
        </is>
      </c>
      <c r="D77" s="14" t="n">
        <v>45474</v>
      </c>
      <c r="E77" s="13" t="n">
        <v>83</v>
      </c>
      <c r="F77" s="13" t="n">
        <v>95</v>
      </c>
      <c r="G77" s="15" t="n">
        <v>0.8737</v>
      </c>
      <c r="H77" s="16" t="inlineStr">
        <is>
          <t>Below Threshold</t>
        </is>
      </c>
    </row>
    <row r="78">
      <c r="A78" s="13" t="inlineStr">
        <is>
          <t>STG-05</t>
        </is>
      </c>
      <c r="B78" s="13" t="inlineStr">
        <is>
          <t>Summit Storage</t>
        </is>
      </c>
      <c r="C78" s="13" t="inlineStr">
        <is>
          <t>Self-Storage</t>
        </is>
      </c>
      <c r="D78" s="14" t="n">
        <v>45474</v>
      </c>
      <c r="E78" s="13" t="n">
        <v>231</v>
      </c>
      <c r="F78" s="13" t="n">
        <v>260</v>
      </c>
      <c r="G78" s="15" t="n">
        <v>0.8885</v>
      </c>
      <c r="H78" s="17" t="inlineStr">
        <is>
          <t>Watch</t>
        </is>
      </c>
    </row>
    <row r="79">
      <c r="A79" s="13" t="inlineStr">
        <is>
          <t>MHC-01</t>
        </is>
      </c>
      <c r="B79" s="13" t="inlineStr">
        <is>
          <t>Sunrise Meadows</t>
        </is>
      </c>
      <c r="C79" s="13" t="inlineStr">
        <is>
          <t>MHC</t>
        </is>
      </c>
      <c r="D79" s="14" t="n">
        <v>45474</v>
      </c>
      <c r="E79" s="13" t="n">
        <v>107</v>
      </c>
      <c r="F79" s="13" t="n">
        <v>120</v>
      </c>
      <c r="G79" s="15" t="n">
        <v>0.8917</v>
      </c>
      <c r="H79" s="17" t="inlineStr">
        <is>
          <t>Watch</t>
        </is>
      </c>
    </row>
    <row r="80">
      <c r="A80" s="13" t="inlineStr">
        <is>
          <t>STG-03</t>
        </is>
      </c>
      <c r="B80" s="13" t="inlineStr">
        <is>
          <t>Desert Vault</t>
        </is>
      </c>
      <c r="C80" s="13" t="inlineStr">
        <is>
          <t>Self-Storage</t>
        </is>
      </c>
      <c r="D80" s="14" t="n">
        <v>45474</v>
      </c>
      <c r="E80" s="13" t="n">
        <v>214</v>
      </c>
      <c r="F80" s="13" t="n">
        <v>240</v>
      </c>
      <c r="G80" s="15" t="n">
        <v>0.8917</v>
      </c>
      <c r="H80" s="17" t="inlineStr">
        <is>
          <t>Watch</t>
        </is>
      </c>
    </row>
    <row r="81">
      <c r="A81" s="13" t="inlineStr">
        <is>
          <t>MHC-06</t>
        </is>
      </c>
      <c r="B81" s="13" t="inlineStr">
        <is>
          <t>Red Rock Commons</t>
        </is>
      </c>
      <c r="C81" s="13" t="inlineStr">
        <is>
          <t>MHC</t>
        </is>
      </c>
      <c r="D81" s="14" t="n">
        <v>45474</v>
      </c>
      <c r="E81" s="13" t="n">
        <v>93</v>
      </c>
      <c r="F81" s="13" t="n">
        <v>102</v>
      </c>
      <c r="G81" s="15" t="n">
        <v>0.9118000000000001</v>
      </c>
      <c r="H81" s="17" t="inlineStr">
        <is>
          <t>Watch</t>
        </is>
      </c>
    </row>
    <row r="82">
      <c r="A82" s="13" t="inlineStr">
        <is>
          <t>STG-02</t>
        </is>
      </c>
      <c r="B82" s="13" t="inlineStr">
        <is>
          <t>SunState Storage</t>
        </is>
      </c>
      <c r="C82" s="13" t="inlineStr">
        <is>
          <t>Self-Storage</t>
        </is>
      </c>
      <c r="D82" s="14" t="n">
        <v>45474</v>
      </c>
      <c r="E82" s="13" t="n">
        <v>292</v>
      </c>
      <c r="F82" s="13" t="n">
        <v>320</v>
      </c>
      <c r="G82" s="15" t="n">
        <v>0.9125</v>
      </c>
      <c r="H82" s="17" t="inlineStr">
        <is>
          <t>Watch</t>
        </is>
      </c>
    </row>
    <row r="83">
      <c r="A83" s="13" t="inlineStr">
        <is>
          <t>STG-01</t>
        </is>
      </c>
      <c r="B83" s="13" t="inlineStr">
        <is>
          <t>ClearBox Storage</t>
        </is>
      </c>
      <c r="C83" s="13" t="inlineStr">
        <is>
          <t>Self-Storage</t>
        </is>
      </c>
      <c r="D83" s="14" t="n">
        <v>45474</v>
      </c>
      <c r="E83" s="13" t="n">
        <v>258</v>
      </c>
      <c r="F83" s="13" t="n">
        <v>280</v>
      </c>
      <c r="G83" s="15" t="n">
        <v>0.9214</v>
      </c>
      <c r="H83" s="17" t="inlineStr">
        <is>
          <t>Watch</t>
        </is>
      </c>
    </row>
    <row r="84">
      <c r="A84" s="13" t="inlineStr">
        <is>
          <t>MHC-07</t>
        </is>
      </c>
      <c r="B84" s="13" t="inlineStr">
        <is>
          <t>Mesa Vista</t>
        </is>
      </c>
      <c r="C84" s="13" t="inlineStr">
        <is>
          <t>MHC</t>
        </is>
      </c>
      <c r="D84" s="14" t="n">
        <v>45474</v>
      </c>
      <c r="E84" s="13" t="n">
        <v>109</v>
      </c>
      <c r="F84" s="13" t="n">
        <v>115</v>
      </c>
      <c r="G84" s="15" t="n">
        <v>0.9478</v>
      </c>
      <c r="H84" s="18" t="inlineStr">
        <is>
          <t>On Target</t>
        </is>
      </c>
    </row>
    <row r="85">
      <c r="A85" s="13" t="inlineStr">
        <is>
          <t>MHC-04</t>
        </is>
      </c>
      <c r="B85" s="13" t="inlineStr">
        <is>
          <t>Saguaro Estates</t>
        </is>
      </c>
      <c r="C85" s="13" t="inlineStr">
        <is>
          <t>MHC</t>
        </is>
      </c>
      <c r="D85" s="14" t="n">
        <v>45474</v>
      </c>
      <c r="E85" s="13" t="n">
        <v>135</v>
      </c>
      <c r="F85" s="13" t="n">
        <v>140</v>
      </c>
      <c r="G85" s="15" t="n">
        <v>0.9643</v>
      </c>
      <c r="H85" s="18" t="inlineStr">
        <is>
          <t>On Target</t>
        </is>
      </c>
    </row>
    <row r="86">
      <c r="A86" s="13" t="inlineStr">
        <is>
          <t>MHC-03</t>
        </is>
      </c>
      <c r="B86" s="13" t="inlineStr">
        <is>
          <t>Canyon Ridge</t>
        </is>
      </c>
      <c r="C86" s="13" t="inlineStr">
        <is>
          <t>MHC</t>
        </is>
      </c>
      <c r="D86" s="14" t="n">
        <v>45505</v>
      </c>
      <c r="E86" s="13" t="n">
        <v>89</v>
      </c>
      <c r="F86" s="13" t="n">
        <v>110</v>
      </c>
      <c r="G86" s="15" t="n">
        <v>0.8091</v>
      </c>
      <c r="H86" s="16" t="inlineStr">
        <is>
          <t>Below Threshold</t>
        </is>
      </c>
    </row>
    <row r="87">
      <c r="A87" s="13" t="inlineStr">
        <is>
          <t>MHC-05</t>
        </is>
      </c>
      <c r="B87" s="13" t="inlineStr">
        <is>
          <t>Pinon Pines</t>
        </is>
      </c>
      <c r="C87" s="13" t="inlineStr">
        <is>
          <t>MHC</t>
        </is>
      </c>
      <c r="D87" s="14" t="n">
        <v>45505</v>
      </c>
      <c r="E87" s="13" t="n">
        <v>74</v>
      </c>
      <c r="F87" s="13" t="n">
        <v>88</v>
      </c>
      <c r="G87" s="15" t="n">
        <v>0.8409</v>
      </c>
      <c r="H87" s="16" t="inlineStr">
        <is>
          <t>Below Threshold</t>
        </is>
      </c>
    </row>
    <row r="88">
      <c r="A88" s="13" t="inlineStr">
        <is>
          <t>STG-04</t>
        </is>
      </c>
      <c r="B88" s="13" t="inlineStr">
        <is>
          <t>Basin Self Storage</t>
        </is>
      </c>
      <c r="C88" s="13" t="inlineStr">
        <is>
          <t>Self-Storage</t>
        </is>
      </c>
      <c r="D88" s="14" t="n">
        <v>45505</v>
      </c>
      <c r="E88" s="13" t="n">
        <v>164</v>
      </c>
      <c r="F88" s="13" t="n">
        <v>195</v>
      </c>
      <c r="G88" s="15" t="n">
        <v>0.841</v>
      </c>
      <c r="H88" s="16" t="inlineStr">
        <is>
          <t>Below Threshold</t>
        </is>
      </c>
    </row>
    <row r="89">
      <c r="A89" s="13" t="inlineStr">
        <is>
          <t>STG-03</t>
        </is>
      </c>
      <c r="B89" s="13" t="inlineStr">
        <is>
          <t>Desert Vault</t>
        </is>
      </c>
      <c r="C89" s="13" t="inlineStr">
        <is>
          <t>Self-Storage</t>
        </is>
      </c>
      <c r="D89" s="14" t="n">
        <v>45505</v>
      </c>
      <c r="E89" s="13" t="n">
        <v>215</v>
      </c>
      <c r="F89" s="13" t="n">
        <v>240</v>
      </c>
      <c r="G89" s="15" t="n">
        <v>0.8958</v>
      </c>
      <c r="H89" s="17" t="inlineStr">
        <is>
          <t>Watch</t>
        </is>
      </c>
    </row>
    <row r="90">
      <c r="A90" s="13" t="inlineStr">
        <is>
          <t>STG-05</t>
        </is>
      </c>
      <c r="B90" s="13" t="inlineStr">
        <is>
          <t>Summit Storage</t>
        </is>
      </c>
      <c r="C90" s="13" t="inlineStr">
        <is>
          <t>Self-Storage</t>
        </is>
      </c>
      <c r="D90" s="14" t="n">
        <v>45505</v>
      </c>
      <c r="E90" s="13" t="n">
        <v>234</v>
      </c>
      <c r="F90" s="13" t="n">
        <v>260</v>
      </c>
      <c r="G90" s="15" t="n">
        <v>0.9</v>
      </c>
      <c r="H90" s="17" t="inlineStr">
        <is>
          <t>Watch</t>
        </is>
      </c>
    </row>
    <row r="91">
      <c r="A91" s="13" t="inlineStr">
        <is>
          <t>STG-02</t>
        </is>
      </c>
      <c r="B91" s="13" t="inlineStr">
        <is>
          <t>SunState Storage</t>
        </is>
      </c>
      <c r="C91" s="13" t="inlineStr">
        <is>
          <t>Self-Storage</t>
        </is>
      </c>
      <c r="D91" s="14" t="n">
        <v>45505</v>
      </c>
      <c r="E91" s="13" t="n">
        <v>291</v>
      </c>
      <c r="F91" s="13" t="n">
        <v>320</v>
      </c>
      <c r="G91" s="15" t="n">
        <v>0.9094</v>
      </c>
      <c r="H91" s="17" t="inlineStr">
        <is>
          <t>Watch</t>
        </is>
      </c>
    </row>
    <row r="92">
      <c r="A92" s="13" t="inlineStr">
        <is>
          <t>MHC-02</t>
        </is>
      </c>
      <c r="B92" s="13" t="inlineStr">
        <is>
          <t>Desert Palms</t>
        </is>
      </c>
      <c r="C92" s="13" t="inlineStr">
        <is>
          <t>MHC</t>
        </is>
      </c>
      <c r="D92" s="14" t="n">
        <v>45505</v>
      </c>
      <c r="E92" s="13" t="n">
        <v>87</v>
      </c>
      <c r="F92" s="13" t="n">
        <v>95</v>
      </c>
      <c r="G92" s="15" t="n">
        <v>0.9157999999999999</v>
      </c>
      <c r="H92" s="17" t="inlineStr">
        <is>
          <t>Watch</t>
        </is>
      </c>
    </row>
    <row r="93">
      <c r="A93" s="13" t="inlineStr">
        <is>
          <t>MHC-06</t>
        </is>
      </c>
      <c r="B93" s="13" t="inlineStr">
        <is>
          <t>Red Rock Commons</t>
        </is>
      </c>
      <c r="C93" s="13" t="inlineStr">
        <is>
          <t>MHC</t>
        </is>
      </c>
      <c r="D93" s="14" t="n">
        <v>45505</v>
      </c>
      <c r="E93" s="13" t="n">
        <v>94</v>
      </c>
      <c r="F93" s="13" t="n">
        <v>102</v>
      </c>
      <c r="G93" s="15" t="n">
        <v>0.9216</v>
      </c>
      <c r="H93" s="17" t="inlineStr">
        <is>
          <t>Watch</t>
        </is>
      </c>
    </row>
    <row r="94">
      <c r="A94" s="13" t="inlineStr">
        <is>
          <t>MHC-01</t>
        </is>
      </c>
      <c r="B94" s="13" t="inlineStr">
        <is>
          <t>Sunrise Meadows</t>
        </is>
      </c>
      <c r="C94" s="13" t="inlineStr">
        <is>
          <t>MHC</t>
        </is>
      </c>
      <c r="D94" s="14" t="n">
        <v>45505</v>
      </c>
      <c r="E94" s="13" t="n">
        <v>112</v>
      </c>
      <c r="F94" s="13" t="n">
        <v>120</v>
      </c>
      <c r="G94" s="15" t="n">
        <v>0.9333</v>
      </c>
      <c r="H94" s="18" t="inlineStr">
        <is>
          <t>On Target</t>
        </is>
      </c>
    </row>
    <row r="95">
      <c r="A95" s="13" t="inlineStr">
        <is>
          <t>STG-01</t>
        </is>
      </c>
      <c r="B95" s="13" t="inlineStr">
        <is>
          <t>ClearBox Storage</t>
        </is>
      </c>
      <c r="C95" s="13" t="inlineStr">
        <is>
          <t>Self-Storage</t>
        </is>
      </c>
      <c r="D95" s="14" t="n">
        <v>45505</v>
      </c>
      <c r="E95" s="13" t="n">
        <v>262</v>
      </c>
      <c r="F95" s="13" t="n">
        <v>280</v>
      </c>
      <c r="G95" s="15" t="n">
        <v>0.9357</v>
      </c>
      <c r="H95" s="18" t="inlineStr">
        <is>
          <t>On Target</t>
        </is>
      </c>
    </row>
    <row r="96">
      <c r="A96" s="13" t="inlineStr">
        <is>
          <t>MHC-07</t>
        </is>
      </c>
      <c r="B96" s="13" t="inlineStr">
        <is>
          <t>Mesa Vista</t>
        </is>
      </c>
      <c r="C96" s="13" t="inlineStr">
        <is>
          <t>MHC</t>
        </is>
      </c>
      <c r="D96" s="14" t="n">
        <v>45505</v>
      </c>
      <c r="E96" s="13" t="n">
        <v>108</v>
      </c>
      <c r="F96" s="13" t="n">
        <v>115</v>
      </c>
      <c r="G96" s="15" t="n">
        <v>0.9391</v>
      </c>
      <c r="H96" s="18" t="inlineStr">
        <is>
          <t>On Target</t>
        </is>
      </c>
    </row>
    <row r="97">
      <c r="A97" s="13" t="inlineStr">
        <is>
          <t>MHC-04</t>
        </is>
      </c>
      <c r="B97" s="13" t="inlineStr">
        <is>
          <t>Saguaro Estates</t>
        </is>
      </c>
      <c r="C97" s="13" t="inlineStr">
        <is>
          <t>MHC</t>
        </is>
      </c>
      <c r="D97" s="14" t="n">
        <v>45505</v>
      </c>
      <c r="E97" s="13" t="n">
        <v>134</v>
      </c>
      <c r="F97" s="13" t="n">
        <v>140</v>
      </c>
      <c r="G97" s="15" t="n">
        <v>0.9571</v>
      </c>
      <c r="H97" s="18" t="inlineStr">
        <is>
          <t>On Target</t>
        </is>
      </c>
    </row>
    <row r="98">
      <c r="A98" s="13" t="inlineStr">
        <is>
          <t>MHC-03</t>
        </is>
      </c>
      <c r="B98" s="13" t="inlineStr">
        <is>
          <t>Canyon Ridge</t>
        </is>
      </c>
      <c r="C98" s="13" t="inlineStr">
        <is>
          <t>MHC</t>
        </is>
      </c>
      <c r="D98" s="14" t="n">
        <v>45536</v>
      </c>
      <c r="E98" s="13" t="n">
        <v>89</v>
      </c>
      <c r="F98" s="13" t="n">
        <v>110</v>
      </c>
      <c r="G98" s="15" t="n">
        <v>0.8091</v>
      </c>
      <c r="H98" s="16" t="inlineStr">
        <is>
          <t>Below Threshold</t>
        </is>
      </c>
    </row>
    <row r="99">
      <c r="A99" s="13" t="inlineStr">
        <is>
          <t>STG-04</t>
        </is>
      </c>
      <c r="B99" s="13" t="inlineStr">
        <is>
          <t>Basin Self Storage</t>
        </is>
      </c>
      <c r="C99" s="13" t="inlineStr">
        <is>
          <t>Self-Storage</t>
        </is>
      </c>
      <c r="D99" s="14" t="n">
        <v>45536</v>
      </c>
      <c r="E99" s="13" t="n">
        <v>162</v>
      </c>
      <c r="F99" s="13" t="n">
        <v>195</v>
      </c>
      <c r="G99" s="15" t="n">
        <v>0.8308</v>
      </c>
      <c r="H99" s="16" t="inlineStr">
        <is>
          <t>Below Threshold</t>
        </is>
      </c>
    </row>
    <row r="100">
      <c r="A100" s="13" t="inlineStr">
        <is>
          <t>MHC-05</t>
        </is>
      </c>
      <c r="B100" s="13" t="inlineStr">
        <is>
          <t>Pinon Pines</t>
        </is>
      </c>
      <c r="C100" s="13" t="inlineStr">
        <is>
          <t>MHC</t>
        </is>
      </c>
      <c r="D100" s="14" t="n">
        <v>45536</v>
      </c>
      <c r="E100" s="13" t="n">
        <v>74</v>
      </c>
      <c r="F100" s="13" t="n">
        <v>88</v>
      </c>
      <c r="G100" s="15" t="n">
        <v>0.8409</v>
      </c>
      <c r="H100" s="16" t="inlineStr">
        <is>
          <t>Below Threshold</t>
        </is>
      </c>
    </row>
    <row r="101">
      <c r="A101" s="13" t="inlineStr">
        <is>
          <t>MHC-02</t>
        </is>
      </c>
      <c r="B101" s="13" t="inlineStr">
        <is>
          <t>Desert Palms</t>
        </is>
      </c>
      <c r="C101" s="13" t="inlineStr">
        <is>
          <t>MHC</t>
        </is>
      </c>
      <c r="D101" s="14" t="n">
        <v>45536</v>
      </c>
      <c r="E101" s="13" t="n">
        <v>85</v>
      </c>
      <c r="F101" s="13" t="n">
        <v>95</v>
      </c>
      <c r="G101" s="15" t="n">
        <v>0.8947000000000001</v>
      </c>
      <c r="H101" s="17" t="inlineStr">
        <is>
          <t>Watch</t>
        </is>
      </c>
    </row>
    <row r="102">
      <c r="A102" s="13" t="inlineStr">
        <is>
          <t>MHC-01</t>
        </is>
      </c>
      <c r="B102" s="13" t="inlineStr">
        <is>
          <t>Sunrise Meadows</t>
        </is>
      </c>
      <c r="C102" s="13" t="inlineStr">
        <is>
          <t>MHC</t>
        </is>
      </c>
      <c r="D102" s="14" t="n">
        <v>45536</v>
      </c>
      <c r="E102" s="13" t="n">
        <v>108</v>
      </c>
      <c r="F102" s="13" t="n">
        <v>120</v>
      </c>
      <c r="G102" s="15" t="n">
        <v>0.9</v>
      </c>
      <c r="H102" s="17" t="inlineStr">
        <is>
          <t>Watch</t>
        </is>
      </c>
    </row>
    <row r="103">
      <c r="A103" s="13" t="inlineStr">
        <is>
          <t>STG-03</t>
        </is>
      </c>
      <c r="B103" s="13" t="inlineStr">
        <is>
          <t>Desert Vault</t>
        </is>
      </c>
      <c r="C103" s="13" t="inlineStr">
        <is>
          <t>Self-Storage</t>
        </is>
      </c>
      <c r="D103" s="14" t="n">
        <v>45536</v>
      </c>
      <c r="E103" s="13" t="n">
        <v>216</v>
      </c>
      <c r="F103" s="13" t="n">
        <v>240</v>
      </c>
      <c r="G103" s="15" t="n">
        <v>0.9</v>
      </c>
      <c r="H103" s="17" t="inlineStr">
        <is>
          <t>Watch</t>
        </is>
      </c>
    </row>
    <row r="104">
      <c r="A104" s="13" t="inlineStr">
        <is>
          <t>STG-05</t>
        </is>
      </c>
      <c r="B104" s="13" t="inlineStr">
        <is>
          <t>Summit Storage</t>
        </is>
      </c>
      <c r="C104" s="13" t="inlineStr">
        <is>
          <t>Self-Storage</t>
        </is>
      </c>
      <c r="D104" s="14" t="n">
        <v>45536</v>
      </c>
      <c r="E104" s="13" t="n">
        <v>236</v>
      </c>
      <c r="F104" s="13" t="n">
        <v>260</v>
      </c>
      <c r="G104" s="15" t="n">
        <v>0.9077</v>
      </c>
      <c r="H104" s="17" t="inlineStr">
        <is>
          <t>Watch</t>
        </is>
      </c>
    </row>
    <row r="105">
      <c r="A105" s="13" t="inlineStr">
        <is>
          <t>STG-02</t>
        </is>
      </c>
      <c r="B105" s="13" t="inlineStr">
        <is>
          <t>SunState Storage</t>
        </is>
      </c>
      <c r="C105" s="13" t="inlineStr">
        <is>
          <t>Self-Storage</t>
        </is>
      </c>
      <c r="D105" s="14" t="n">
        <v>45536</v>
      </c>
      <c r="E105" s="13" t="n">
        <v>294</v>
      </c>
      <c r="F105" s="13" t="n">
        <v>320</v>
      </c>
      <c r="G105" s="15" t="n">
        <v>0.9187</v>
      </c>
      <c r="H105" s="17" t="inlineStr">
        <is>
          <t>Watch</t>
        </is>
      </c>
    </row>
    <row r="106">
      <c r="A106" s="13" t="inlineStr">
        <is>
          <t>MHC-06</t>
        </is>
      </c>
      <c r="B106" s="13" t="inlineStr">
        <is>
          <t>Red Rock Commons</t>
        </is>
      </c>
      <c r="C106" s="13" t="inlineStr">
        <is>
          <t>MHC</t>
        </is>
      </c>
      <c r="D106" s="14" t="n">
        <v>45536</v>
      </c>
      <c r="E106" s="13" t="n">
        <v>94</v>
      </c>
      <c r="F106" s="13" t="n">
        <v>102</v>
      </c>
      <c r="G106" s="15" t="n">
        <v>0.9216</v>
      </c>
      <c r="H106" s="17" t="inlineStr">
        <is>
          <t>Watch</t>
        </is>
      </c>
    </row>
    <row r="107">
      <c r="A107" s="13" t="inlineStr">
        <is>
          <t>STG-01</t>
        </is>
      </c>
      <c r="B107" s="13" t="inlineStr">
        <is>
          <t>ClearBox Storage</t>
        </is>
      </c>
      <c r="C107" s="13" t="inlineStr">
        <is>
          <t>Self-Storage</t>
        </is>
      </c>
      <c r="D107" s="14" t="n">
        <v>45536</v>
      </c>
      <c r="E107" s="13" t="n">
        <v>261</v>
      </c>
      <c r="F107" s="13" t="n">
        <v>280</v>
      </c>
      <c r="G107" s="15" t="n">
        <v>0.9321</v>
      </c>
      <c r="H107" s="18" t="inlineStr">
        <is>
          <t>On Target</t>
        </is>
      </c>
    </row>
    <row r="108">
      <c r="A108" s="13" t="inlineStr">
        <is>
          <t>MHC-07</t>
        </is>
      </c>
      <c r="B108" s="13" t="inlineStr">
        <is>
          <t>Mesa Vista</t>
        </is>
      </c>
      <c r="C108" s="13" t="inlineStr">
        <is>
          <t>MHC</t>
        </is>
      </c>
      <c r="D108" s="14" t="n">
        <v>45536</v>
      </c>
      <c r="E108" s="13" t="n">
        <v>111</v>
      </c>
      <c r="F108" s="13" t="n">
        <v>115</v>
      </c>
      <c r="G108" s="15" t="n">
        <v>0.9651999999999999</v>
      </c>
      <c r="H108" s="18" t="inlineStr">
        <is>
          <t>On Target</t>
        </is>
      </c>
    </row>
    <row r="109">
      <c r="A109" s="13" t="inlineStr">
        <is>
          <t>MHC-04</t>
        </is>
      </c>
      <c r="B109" s="13" t="inlineStr">
        <is>
          <t>Saguaro Estates</t>
        </is>
      </c>
      <c r="C109" s="13" t="inlineStr">
        <is>
          <t>MHC</t>
        </is>
      </c>
      <c r="D109" s="14" t="n">
        <v>45536</v>
      </c>
      <c r="E109" s="13" t="n">
        <v>137</v>
      </c>
      <c r="F109" s="13" t="n">
        <v>140</v>
      </c>
      <c r="G109" s="15" t="n">
        <v>0.9786</v>
      </c>
      <c r="H109" s="18" t="inlineStr">
        <is>
          <t>On Target</t>
        </is>
      </c>
    </row>
    <row r="110">
      <c r="A110" s="13" t="inlineStr">
        <is>
          <t>MHC-03</t>
        </is>
      </c>
      <c r="B110" s="13" t="inlineStr">
        <is>
          <t>Canyon Ridge</t>
        </is>
      </c>
      <c r="C110" s="13" t="inlineStr">
        <is>
          <t>MHC</t>
        </is>
      </c>
      <c r="D110" s="14" t="n">
        <v>45566</v>
      </c>
      <c r="E110" s="13" t="n">
        <v>89</v>
      </c>
      <c r="F110" s="13" t="n">
        <v>110</v>
      </c>
      <c r="G110" s="15" t="n">
        <v>0.8091</v>
      </c>
      <c r="H110" s="16" t="inlineStr">
        <is>
          <t>Below Threshold</t>
        </is>
      </c>
    </row>
    <row r="111">
      <c r="A111" s="13" t="inlineStr">
        <is>
          <t>STG-04</t>
        </is>
      </c>
      <c r="B111" s="13" t="inlineStr">
        <is>
          <t>Basin Self Storage</t>
        </is>
      </c>
      <c r="C111" s="13" t="inlineStr">
        <is>
          <t>Self-Storage</t>
        </is>
      </c>
      <c r="D111" s="14" t="n">
        <v>45566</v>
      </c>
      <c r="E111" s="13" t="n">
        <v>164</v>
      </c>
      <c r="F111" s="13" t="n">
        <v>195</v>
      </c>
      <c r="G111" s="15" t="n">
        <v>0.841</v>
      </c>
      <c r="H111" s="16" t="inlineStr">
        <is>
          <t>Below Threshold</t>
        </is>
      </c>
    </row>
    <row r="112">
      <c r="A112" s="13" t="inlineStr">
        <is>
          <t>MHC-05</t>
        </is>
      </c>
      <c r="B112" s="13" t="inlineStr">
        <is>
          <t>Pinon Pines</t>
        </is>
      </c>
      <c r="C112" s="13" t="inlineStr">
        <is>
          <t>MHC</t>
        </is>
      </c>
      <c r="D112" s="14" t="n">
        <v>45566</v>
      </c>
      <c r="E112" s="13" t="n">
        <v>76</v>
      </c>
      <c r="F112" s="13" t="n">
        <v>88</v>
      </c>
      <c r="G112" s="15" t="n">
        <v>0.8636</v>
      </c>
      <c r="H112" s="16" t="inlineStr">
        <is>
          <t>Below Threshold</t>
        </is>
      </c>
    </row>
    <row r="113">
      <c r="A113" s="13" t="inlineStr">
        <is>
          <t>STG-05</t>
        </is>
      </c>
      <c r="B113" s="13" t="inlineStr">
        <is>
          <t>Summit Storage</t>
        </is>
      </c>
      <c r="C113" s="13" t="inlineStr">
        <is>
          <t>Self-Storage</t>
        </is>
      </c>
      <c r="D113" s="14" t="n">
        <v>45566</v>
      </c>
      <c r="E113" s="13" t="n">
        <v>234</v>
      </c>
      <c r="F113" s="13" t="n">
        <v>260</v>
      </c>
      <c r="G113" s="15" t="n">
        <v>0.9</v>
      </c>
      <c r="H113" s="17" t="inlineStr">
        <is>
          <t>Watch</t>
        </is>
      </c>
    </row>
    <row r="114">
      <c r="A114" s="13" t="inlineStr">
        <is>
          <t>STG-03</t>
        </is>
      </c>
      <c r="B114" s="13" t="inlineStr">
        <is>
          <t>Desert Vault</t>
        </is>
      </c>
      <c r="C114" s="13" t="inlineStr">
        <is>
          <t>Self-Storage</t>
        </is>
      </c>
      <c r="D114" s="14" t="n">
        <v>45566</v>
      </c>
      <c r="E114" s="13" t="n">
        <v>217</v>
      </c>
      <c r="F114" s="13" t="n">
        <v>240</v>
      </c>
      <c r="G114" s="15" t="n">
        <v>0.9042</v>
      </c>
      <c r="H114" s="17" t="inlineStr">
        <is>
          <t>Watch</t>
        </is>
      </c>
    </row>
    <row r="115">
      <c r="A115" s="13" t="inlineStr">
        <is>
          <t>MHC-06</t>
        </is>
      </c>
      <c r="B115" s="13" t="inlineStr">
        <is>
          <t>Red Rock Commons</t>
        </is>
      </c>
      <c r="C115" s="13" t="inlineStr">
        <is>
          <t>MHC</t>
        </is>
      </c>
      <c r="D115" s="14" t="n">
        <v>45566</v>
      </c>
      <c r="E115" s="13" t="n">
        <v>93</v>
      </c>
      <c r="F115" s="13" t="n">
        <v>102</v>
      </c>
      <c r="G115" s="15" t="n">
        <v>0.9118000000000001</v>
      </c>
      <c r="H115" s="17" t="inlineStr">
        <is>
          <t>Watch</t>
        </is>
      </c>
    </row>
    <row r="116">
      <c r="A116" s="13" t="inlineStr">
        <is>
          <t>STG-02</t>
        </is>
      </c>
      <c r="B116" s="13" t="inlineStr">
        <is>
          <t>SunState Storage</t>
        </is>
      </c>
      <c r="C116" s="13" t="inlineStr">
        <is>
          <t>Self-Storage</t>
        </is>
      </c>
      <c r="D116" s="14" t="n">
        <v>45566</v>
      </c>
      <c r="E116" s="13" t="n">
        <v>294</v>
      </c>
      <c r="F116" s="13" t="n">
        <v>320</v>
      </c>
      <c r="G116" s="15" t="n">
        <v>0.9187</v>
      </c>
      <c r="H116" s="17" t="inlineStr">
        <is>
          <t>Watch</t>
        </is>
      </c>
    </row>
    <row r="117">
      <c r="A117" s="13" t="inlineStr">
        <is>
          <t>MHC-02</t>
        </is>
      </c>
      <c r="B117" s="13" t="inlineStr">
        <is>
          <t>Desert Palms</t>
        </is>
      </c>
      <c r="C117" s="13" t="inlineStr">
        <is>
          <t>MHC</t>
        </is>
      </c>
      <c r="D117" s="14" t="n">
        <v>45566</v>
      </c>
      <c r="E117" s="13" t="n">
        <v>88</v>
      </c>
      <c r="F117" s="13" t="n">
        <v>95</v>
      </c>
      <c r="G117" s="15" t="n">
        <v>0.9263</v>
      </c>
      <c r="H117" s="17" t="inlineStr">
        <is>
          <t>Watch</t>
        </is>
      </c>
    </row>
    <row r="118">
      <c r="A118" s="13" t="inlineStr">
        <is>
          <t>STG-01</t>
        </is>
      </c>
      <c r="B118" s="13" t="inlineStr">
        <is>
          <t>ClearBox Storage</t>
        </is>
      </c>
      <c r="C118" s="13" t="inlineStr">
        <is>
          <t>Self-Storage</t>
        </is>
      </c>
      <c r="D118" s="14" t="n">
        <v>45566</v>
      </c>
      <c r="E118" s="13" t="n">
        <v>261</v>
      </c>
      <c r="F118" s="13" t="n">
        <v>280</v>
      </c>
      <c r="G118" s="15" t="n">
        <v>0.9321</v>
      </c>
      <c r="H118" s="18" t="inlineStr">
        <is>
          <t>On Target</t>
        </is>
      </c>
    </row>
    <row r="119">
      <c r="A119" s="13" t="inlineStr">
        <is>
          <t>MHC-01</t>
        </is>
      </c>
      <c r="B119" s="13" t="inlineStr">
        <is>
          <t>Sunrise Meadows</t>
        </is>
      </c>
      <c r="C119" s="13" t="inlineStr">
        <is>
          <t>MHC</t>
        </is>
      </c>
      <c r="D119" s="14" t="n">
        <v>45566</v>
      </c>
      <c r="E119" s="13" t="n">
        <v>112</v>
      </c>
      <c r="F119" s="13" t="n">
        <v>120</v>
      </c>
      <c r="G119" s="15" t="n">
        <v>0.9333</v>
      </c>
      <c r="H119" s="18" t="inlineStr">
        <is>
          <t>On Target</t>
        </is>
      </c>
    </row>
    <row r="120">
      <c r="A120" s="13" t="inlineStr">
        <is>
          <t>MHC-07</t>
        </is>
      </c>
      <c r="B120" s="13" t="inlineStr">
        <is>
          <t>Mesa Vista</t>
        </is>
      </c>
      <c r="C120" s="13" t="inlineStr">
        <is>
          <t>MHC</t>
        </is>
      </c>
      <c r="D120" s="14" t="n">
        <v>45566</v>
      </c>
      <c r="E120" s="13" t="n">
        <v>108</v>
      </c>
      <c r="F120" s="13" t="n">
        <v>115</v>
      </c>
      <c r="G120" s="15" t="n">
        <v>0.9391</v>
      </c>
      <c r="H120" s="18" t="inlineStr">
        <is>
          <t>On Target</t>
        </is>
      </c>
    </row>
    <row r="121">
      <c r="A121" s="13" t="inlineStr">
        <is>
          <t>MHC-04</t>
        </is>
      </c>
      <c r="B121" s="13" t="inlineStr">
        <is>
          <t>Saguaro Estates</t>
        </is>
      </c>
      <c r="C121" s="13" t="inlineStr">
        <is>
          <t>MHC</t>
        </is>
      </c>
      <c r="D121" s="14" t="n">
        <v>45566</v>
      </c>
      <c r="E121" s="13" t="n">
        <v>138</v>
      </c>
      <c r="F121" s="13" t="n">
        <v>140</v>
      </c>
      <c r="G121" s="15" t="n">
        <v>0.9857</v>
      </c>
      <c r="H121" s="18" t="inlineStr">
        <is>
          <t>On Target</t>
        </is>
      </c>
    </row>
    <row r="122">
      <c r="A122" s="13" t="inlineStr">
        <is>
          <t>MHC-03</t>
        </is>
      </c>
      <c r="B122" s="13" t="inlineStr">
        <is>
          <t>Canyon Ridge</t>
        </is>
      </c>
      <c r="C122" s="13" t="inlineStr">
        <is>
          <t>MHC</t>
        </is>
      </c>
      <c r="D122" s="14" t="n">
        <v>45597</v>
      </c>
      <c r="E122" s="13" t="n">
        <v>91</v>
      </c>
      <c r="F122" s="13" t="n">
        <v>110</v>
      </c>
      <c r="G122" s="15" t="n">
        <v>0.8273</v>
      </c>
      <c r="H122" s="16" t="inlineStr">
        <is>
          <t>Below Threshold</t>
        </is>
      </c>
    </row>
    <row r="123">
      <c r="A123" s="13" t="inlineStr">
        <is>
          <t>STG-04</t>
        </is>
      </c>
      <c r="B123" s="13" t="inlineStr">
        <is>
          <t>Basin Self Storage</t>
        </is>
      </c>
      <c r="C123" s="13" t="inlineStr">
        <is>
          <t>Self-Storage</t>
        </is>
      </c>
      <c r="D123" s="14" t="n">
        <v>45597</v>
      </c>
      <c r="E123" s="13" t="n">
        <v>170</v>
      </c>
      <c r="F123" s="13" t="n">
        <v>195</v>
      </c>
      <c r="G123" s="15" t="n">
        <v>0.8718</v>
      </c>
      <c r="H123" s="16" t="inlineStr">
        <is>
          <t>Below Threshold</t>
        </is>
      </c>
    </row>
    <row r="124">
      <c r="A124" s="13" t="inlineStr">
        <is>
          <t>MHC-05</t>
        </is>
      </c>
      <c r="B124" s="13" t="inlineStr">
        <is>
          <t>Pinon Pines</t>
        </is>
      </c>
      <c r="C124" s="13" t="inlineStr">
        <is>
          <t>MHC</t>
        </is>
      </c>
      <c r="D124" s="14" t="n">
        <v>45597</v>
      </c>
      <c r="E124" s="13" t="n">
        <v>78</v>
      </c>
      <c r="F124" s="13" t="n">
        <v>88</v>
      </c>
      <c r="G124" s="15" t="n">
        <v>0.8864</v>
      </c>
      <c r="H124" s="17" t="inlineStr">
        <is>
          <t>Watch</t>
        </is>
      </c>
    </row>
    <row r="125">
      <c r="A125" s="13" t="inlineStr">
        <is>
          <t>STG-03</t>
        </is>
      </c>
      <c r="B125" s="13" t="inlineStr">
        <is>
          <t>Desert Vault</t>
        </is>
      </c>
      <c r="C125" s="13" t="inlineStr">
        <is>
          <t>Self-Storage</t>
        </is>
      </c>
      <c r="D125" s="14" t="n">
        <v>45597</v>
      </c>
      <c r="E125" s="13" t="n">
        <v>219</v>
      </c>
      <c r="F125" s="13" t="n">
        <v>240</v>
      </c>
      <c r="G125" s="15" t="n">
        <v>0.9125</v>
      </c>
      <c r="H125" s="17" t="inlineStr">
        <is>
          <t>Watch</t>
        </is>
      </c>
    </row>
    <row r="126">
      <c r="A126" s="13" t="inlineStr">
        <is>
          <t>STG-05</t>
        </is>
      </c>
      <c r="B126" s="13" t="inlineStr">
        <is>
          <t>Summit Storage</t>
        </is>
      </c>
      <c r="C126" s="13" t="inlineStr">
        <is>
          <t>Self-Storage</t>
        </is>
      </c>
      <c r="D126" s="14" t="n">
        <v>45597</v>
      </c>
      <c r="E126" s="13" t="n">
        <v>238</v>
      </c>
      <c r="F126" s="13" t="n">
        <v>260</v>
      </c>
      <c r="G126" s="15" t="n">
        <v>0.9154</v>
      </c>
      <c r="H126" s="17" t="inlineStr">
        <is>
          <t>Watch</t>
        </is>
      </c>
    </row>
    <row r="127">
      <c r="A127" s="13" t="inlineStr">
        <is>
          <t>MHC-02</t>
        </is>
      </c>
      <c r="B127" s="13" t="inlineStr">
        <is>
          <t>Desert Palms</t>
        </is>
      </c>
      <c r="C127" s="13" t="inlineStr">
        <is>
          <t>MHC</t>
        </is>
      </c>
      <c r="D127" s="14" t="n">
        <v>45597</v>
      </c>
      <c r="E127" s="13" t="n">
        <v>87</v>
      </c>
      <c r="F127" s="13" t="n">
        <v>95</v>
      </c>
      <c r="G127" s="15" t="n">
        <v>0.9157999999999999</v>
      </c>
      <c r="H127" s="17" t="inlineStr">
        <is>
          <t>Watch</t>
        </is>
      </c>
    </row>
    <row r="128">
      <c r="A128" s="13" t="inlineStr">
        <is>
          <t>MHC-01</t>
        </is>
      </c>
      <c r="B128" s="13" t="inlineStr">
        <is>
          <t>Sunrise Meadows</t>
        </is>
      </c>
      <c r="C128" s="13" t="inlineStr">
        <is>
          <t>MHC</t>
        </is>
      </c>
      <c r="D128" s="14" t="n">
        <v>45597</v>
      </c>
      <c r="E128" s="13" t="n">
        <v>111</v>
      </c>
      <c r="F128" s="13" t="n">
        <v>120</v>
      </c>
      <c r="G128" s="15" t="n">
        <v>0.925</v>
      </c>
      <c r="H128" s="17" t="inlineStr">
        <is>
          <t>Watch</t>
        </is>
      </c>
    </row>
    <row r="129">
      <c r="A129" s="13" t="inlineStr">
        <is>
          <t>STG-02</t>
        </is>
      </c>
      <c r="B129" s="13" t="inlineStr">
        <is>
          <t>SunState Storage</t>
        </is>
      </c>
      <c r="C129" s="13" t="inlineStr">
        <is>
          <t>Self-Storage</t>
        </is>
      </c>
      <c r="D129" s="14" t="n">
        <v>45597</v>
      </c>
      <c r="E129" s="13" t="n">
        <v>296</v>
      </c>
      <c r="F129" s="13" t="n">
        <v>320</v>
      </c>
      <c r="G129" s="15" t="n">
        <v>0.925</v>
      </c>
      <c r="H129" s="17" t="inlineStr">
        <is>
          <t>Watch</t>
        </is>
      </c>
    </row>
    <row r="130">
      <c r="A130" s="13" t="inlineStr">
        <is>
          <t>MHC-06</t>
        </is>
      </c>
      <c r="B130" s="13" t="inlineStr">
        <is>
          <t>Red Rock Commons</t>
        </is>
      </c>
      <c r="C130" s="13" t="inlineStr">
        <is>
          <t>MHC</t>
        </is>
      </c>
      <c r="D130" s="14" t="n">
        <v>45597</v>
      </c>
      <c r="E130" s="13" t="n">
        <v>95</v>
      </c>
      <c r="F130" s="13" t="n">
        <v>102</v>
      </c>
      <c r="G130" s="15" t="n">
        <v>0.9314</v>
      </c>
      <c r="H130" s="18" t="inlineStr">
        <is>
          <t>On Target</t>
        </is>
      </c>
    </row>
    <row r="131">
      <c r="A131" s="13" t="inlineStr">
        <is>
          <t>STG-01</t>
        </is>
      </c>
      <c r="B131" s="13" t="inlineStr">
        <is>
          <t>ClearBox Storage</t>
        </is>
      </c>
      <c r="C131" s="13" t="inlineStr">
        <is>
          <t>Self-Storage</t>
        </is>
      </c>
      <c r="D131" s="14" t="n">
        <v>45597</v>
      </c>
      <c r="E131" s="13" t="n">
        <v>263</v>
      </c>
      <c r="F131" s="13" t="n">
        <v>280</v>
      </c>
      <c r="G131" s="15" t="n">
        <v>0.9393</v>
      </c>
      <c r="H131" s="18" t="inlineStr">
        <is>
          <t>On Target</t>
        </is>
      </c>
    </row>
    <row r="132">
      <c r="A132" s="13" t="inlineStr">
        <is>
          <t>MHC-07</t>
        </is>
      </c>
      <c r="B132" s="13" t="inlineStr">
        <is>
          <t>Mesa Vista</t>
        </is>
      </c>
      <c r="C132" s="13" t="inlineStr">
        <is>
          <t>MHC</t>
        </is>
      </c>
      <c r="D132" s="14" t="n">
        <v>45597</v>
      </c>
      <c r="E132" s="13" t="n">
        <v>109</v>
      </c>
      <c r="F132" s="13" t="n">
        <v>115</v>
      </c>
      <c r="G132" s="15" t="n">
        <v>0.9478</v>
      </c>
      <c r="H132" s="18" t="inlineStr">
        <is>
          <t>On Target</t>
        </is>
      </c>
    </row>
    <row r="133">
      <c r="A133" s="13" t="inlineStr">
        <is>
          <t>MHC-04</t>
        </is>
      </c>
      <c r="B133" s="13" t="inlineStr">
        <is>
          <t>Saguaro Estates</t>
        </is>
      </c>
      <c r="C133" s="13" t="inlineStr">
        <is>
          <t>MHC</t>
        </is>
      </c>
      <c r="D133" s="14" t="n">
        <v>45597</v>
      </c>
      <c r="E133" s="13" t="n">
        <v>135</v>
      </c>
      <c r="F133" s="13" t="n">
        <v>140</v>
      </c>
      <c r="G133" s="15" t="n">
        <v>0.9643</v>
      </c>
      <c r="H133" s="18" t="inlineStr">
        <is>
          <t>On Target</t>
        </is>
      </c>
    </row>
    <row r="134">
      <c r="A134" s="13" t="inlineStr">
        <is>
          <t>MHC-03</t>
        </is>
      </c>
      <c r="B134" s="13" t="inlineStr">
        <is>
          <t>Canyon Ridge</t>
        </is>
      </c>
      <c r="C134" s="13" t="inlineStr">
        <is>
          <t>MHC</t>
        </is>
      </c>
      <c r="D134" s="14" t="n">
        <v>45627</v>
      </c>
      <c r="E134" s="13" t="n">
        <v>89</v>
      </c>
      <c r="F134" s="13" t="n">
        <v>110</v>
      </c>
      <c r="G134" s="15" t="n">
        <v>0.8091</v>
      </c>
      <c r="H134" s="16" t="inlineStr">
        <is>
          <t>Below Threshold</t>
        </is>
      </c>
    </row>
    <row r="135">
      <c r="A135" s="13" t="inlineStr">
        <is>
          <t>MHC-05</t>
        </is>
      </c>
      <c r="B135" s="13" t="inlineStr">
        <is>
          <t>Pinon Pines</t>
        </is>
      </c>
      <c r="C135" s="13" t="inlineStr">
        <is>
          <t>MHC</t>
        </is>
      </c>
      <c r="D135" s="14" t="n">
        <v>45627</v>
      </c>
      <c r="E135" s="13" t="n">
        <v>76</v>
      </c>
      <c r="F135" s="13" t="n">
        <v>88</v>
      </c>
      <c r="G135" s="15" t="n">
        <v>0.8636</v>
      </c>
      <c r="H135" s="16" t="inlineStr">
        <is>
          <t>Below Threshold</t>
        </is>
      </c>
    </row>
    <row r="136">
      <c r="A136" s="13" t="inlineStr">
        <is>
          <t>STG-04</t>
        </is>
      </c>
      <c r="B136" s="13" t="inlineStr">
        <is>
          <t>Basin Self Storage</t>
        </is>
      </c>
      <c r="C136" s="13" t="inlineStr">
        <is>
          <t>Self-Storage</t>
        </is>
      </c>
      <c r="D136" s="14" t="n">
        <v>45627</v>
      </c>
      <c r="E136" s="13" t="n">
        <v>170</v>
      </c>
      <c r="F136" s="13" t="n">
        <v>195</v>
      </c>
      <c r="G136" s="15" t="n">
        <v>0.8718</v>
      </c>
      <c r="H136" s="16" t="inlineStr">
        <is>
          <t>Below Threshold</t>
        </is>
      </c>
    </row>
    <row r="137">
      <c r="A137" s="13" t="inlineStr">
        <is>
          <t>MHC-02</t>
        </is>
      </c>
      <c r="B137" s="13" t="inlineStr">
        <is>
          <t>Desert Palms</t>
        </is>
      </c>
      <c r="C137" s="13" t="inlineStr">
        <is>
          <t>MHC</t>
        </is>
      </c>
      <c r="D137" s="14" t="n">
        <v>45627</v>
      </c>
      <c r="E137" s="13" t="n">
        <v>85</v>
      </c>
      <c r="F137" s="13" t="n">
        <v>95</v>
      </c>
      <c r="G137" s="15" t="n">
        <v>0.8947000000000001</v>
      </c>
      <c r="H137" s="17" t="inlineStr">
        <is>
          <t>Watch</t>
        </is>
      </c>
    </row>
    <row r="138">
      <c r="A138" s="13" t="inlineStr">
        <is>
          <t>MHC-01</t>
        </is>
      </c>
      <c r="B138" s="13" t="inlineStr">
        <is>
          <t>Sunrise Meadows</t>
        </is>
      </c>
      <c r="C138" s="13" t="inlineStr">
        <is>
          <t>MHC</t>
        </is>
      </c>
      <c r="D138" s="14" t="n">
        <v>45627</v>
      </c>
      <c r="E138" s="13" t="n">
        <v>108</v>
      </c>
      <c r="F138" s="13" t="n">
        <v>120</v>
      </c>
      <c r="G138" s="15" t="n">
        <v>0.9</v>
      </c>
      <c r="H138" s="17" t="inlineStr">
        <is>
          <t>Watch</t>
        </is>
      </c>
    </row>
    <row r="139">
      <c r="A139" s="13" t="inlineStr">
        <is>
          <t>STG-05</t>
        </is>
      </c>
      <c r="B139" s="13" t="inlineStr">
        <is>
          <t>Summit Storage</t>
        </is>
      </c>
      <c r="C139" s="13" t="inlineStr">
        <is>
          <t>Self-Storage</t>
        </is>
      </c>
      <c r="D139" s="14" t="n">
        <v>45627</v>
      </c>
      <c r="E139" s="13" t="n">
        <v>235</v>
      </c>
      <c r="F139" s="13" t="n">
        <v>260</v>
      </c>
      <c r="G139" s="15" t="n">
        <v>0.9038</v>
      </c>
      <c r="H139" s="17" t="inlineStr">
        <is>
          <t>Watch</t>
        </is>
      </c>
    </row>
    <row r="140">
      <c r="A140" s="13" t="inlineStr">
        <is>
          <t>MHC-06</t>
        </is>
      </c>
      <c r="B140" s="13" t="inlineStr">
        <is>
          <t>Red Rock Commons</t>
        </is>
      </c>
      <c r="C140" s="13" t="inlineStr">
        <is>
          <t>MHC</t>
        </is>
      </c>
      <c r="D140" s="14" t="n">
        <v>45627</v>
      </c>
      <c r="E140" s="13" t="n">
        <v>93</v>
      </c>
      <c r="F140" s="13" t="n">
        <v>102</v>
      </c>
      <c r="G140" s="15" t="n">
        <v>0.9118000000000001</v>
      </c>
      <c r="H140" s="17" t="inlineStr">
        <is>
          <t>Watch</t>
        </is>
      </c>
    </row>
    <row r="141">
      <c r="A141" s="13" t="inlineStr">
        <is>
          <t>STG-03</t>
        </is>
      </c>
      <c r="B141" s="13" t="inlineStr">
        <is>
          <t>Desert Vault</t>
        </is>
      </c>
      <c r="C141" s="13" t="inlineStr">
        <is>
          <t>Self-Storage</t>
        </is>
      </c>
      <c r="D141" s="14" t="n">
        <v>45627</v>
      </c>
      <c r="E141" s="13" t="n">
        <v>220</v>
      </c>
      <c r="F141" s="13" t="n">
        <v>240</v>
      </c>
      <c r="G141" s="15" t="n">
        <v>0.9167</v>
      </c>
      <c r="H141" s="17" t="inlineStr">
        <is>
          <t>Watch</t>
        </is>
      </c>
    </row>
    <row r="142">
      <c r="A142" s="13" t="inlineStr">
        <is>
          <t>STG-02</t>
        </is>
      </c>
      <c r="B142" s="13" t="inlineStr">
        <is>
          <t>SunState Storage</t>
        </is>
      </c>
      <c r="C142" s="13" t="inlineStr">
        <is>
          <t>Self-Storage</t>
        </is>
      </c>
      <c r="D142" s="14" t="n">
        <v>45627</v>
      </c>
      <c r="E142" s="13" t="n">
        <v>295</v>
      </c>
      <c r="F142" s="13" t="n">
        <v>320</v>
      </c>
      <c r="G142" s="15" t="n">
        <v>0.9219000000000001</v>
      </c>
      <c r="H142" s="17" t="inlineStr">
        <is>
          <t>Watch</t>
        </is>
      </c>
    </row>
    <row r="143">
      <c r="A143" s="13" t="inlineStr">
        <is>
          <t>MHC-07</t>
        </is>
      </c>
      <c r="B143" s="13" t="inlineStr">
        <is>
          <t>Mesa Vista</t>
        </is>
      </c>
      <c r="C143" s="13" t="inlineStr">
        <is>
          <t>MHC</t>
        </is>
      </c>
      <c r="D143" s="14" t="n">
        <v>45627</v>
      </c>
      <c r="E143" s="13" t="n">
        <v>107</v>
      </c>
      <c r="F143" s="13" t="n">
        <v>115</v>
      </c>
      <c r="G143" s="15" t="n">
        <v>0.9304</v>
      </c>
      <c r="H143" s="18" t="inlineStr">
        <is>
          <t>On Target</t>
        </is>
      </c>
    </row>
    <row r="144">
      <c r="A144" s="13" t="inlineStr">
        <is>
          <t>STG-01</t>
        </is>
      </c>
      <c r="B144" s="13" t="inlineStr">
        <is>
          <t>ClearBox Storage</t>
        </is>
      </c>
      <c r="C144" s="13" t="inlineStr">
        <is>
          <t>Self-Storage</t>
        </is>
      </c>
      <c r="D144" s="14" t="n">
        <v>45627</v>
      </c>
      <c r="E144" s="13" t="n">
        <v>264</v>
      </c>
      <c r="F144" s="13" t="n">
        <v>280</v>
      </c>
      <c r="G144" s="15" t="n">
        <v>0.9429</v>
      </c>
      <c r="H144" s="18" t="inlineStr">
        <is>
          <t>On Target</t>
        </is>
      </c>
    </row>
    <row r="145">
      <c r="A145" s="13" t="inlineStr">
        <is>
          <t>MHC-04</t>
        </is>
      </c>
      <c r="B145" s="13" t="inlineStr">
        <is>
          <t>Saguaro Estates</t>
        </is>
      </c>
      <c r="C145" s="13" t="inlineStr">
        <is>
          <t>MHC</t>
        </is>
      </c>
      <c r="D145" s="14" t="n">
        <v>45627</v>
      </c>
      <c r="E145" s="13" t="n">
        <v>138</v>
      </c>
      <c r="F145" s="13" t="n">
        <v>140</v>
      </c>
      <c r="G145" s="15" t="n">
        <v>0.9857</v>
      </c>
      <c r="H145" s="18" t="inlineStr">
        <is>
          <t>On Target</t>
        </is>
      </c>
    </row>
  </sheetData>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4" customWidth="1" min="3" max="3"/>
    <col width="12" customWidth="1" min="4" max="4"/>
    <col width="13" customWidth="1" min="5" max="5"/>
    <col width="16" customWidth="1" min="6" max="6"/>
    <col width="17" customWidth="1" min="7" max="7"/>
    <col width="18" customWidth="1" min="8" max="8"/>
    <col width="12" customWidth="1" min="9" max="9"/>
  </cols>
  <sheetData>
    <row r="1">
      <c r="A1" s="6" t="inlineStr">
        <is>
          <t>Property ID</t>
        </is>
      </c>
      <c r="B1" s="6" t="inlineStr">
        <is>
          <t>Property Name</t>
        </is>
      </c>
      <c r="C1" s="6" t="inlineStr">
        <is>
          <t>Asset Type</t>
        </is>
      </c>
      <c r="D1" s="6" t="inlineStr">
        <is>
          <t>Month</t>
        </is>
      </c>
      <c r="E1" s="6" t="inlineStr">
        <is>
          <t>Rent Billed</t>
        </is>
      </c>
      <c r="F1" s="6" t="inlineStr">
        <is>
          <t>Rent Collected</t>
        </is>
      </c>
      <c r="G1" s="6" t="inlineStr">
        <is>
          <t>Past Due Amount</t>
        </is>
      </c>
      <c r="H1" s="6" t="inlineStr">
        <is>
          <t>Delinquency Rate</t>
        </is>
      </c>
      <c r="I1" s="6" t="inlineStr">
        <is>
          <t>Risk Tier</t>
        </is>
      </c>
    </row>
    <row r="2">
      <c r="A2" s="13" t="inlineStr">
        <is>
          <t>MHC-01</t>
        </is>
      </c>
      <c r="B2" s="13" t="inlineStr">
        <is>
          <t>Sunrise Meadows</t>
        </is>
      </c>
      <c r="C2" s="13" t="inlineStr">
        <is>
          <t>MHC</t>
        </is>
      </c>
      <c r="D2" s="14" t="n">
        <v>45292</v>
      </c>
      <c r="E2" s="19" t="n">
        <v>87354.60000000001</v>
      </c>
      <c r="F2" s="19" t="n">
        <v>82537.07000000001</v>
      </c>
      <c r="G2" s="19" t="n">
        <v>4817.53</v>
      </c>
      <c r="H2" s="15" t="n">
        <v>0.0551</v>
      </c>
      <c r="I2" s="17" t="inlineStr">
        <is>
          <t>Monitor</t>
        </is>
      </c>
    </row>
    <row r="3">
      <c r="A3" s="13" t="inlineStr">
        <is>
          <t>MHC-01</t>
        </is>
      </c>
      <c r="B3" s="13" t="inlineStr">
        <is>
          <t>Sunrise Meadows</t>
        </is>
      </c>
      <c r="C3" s="13" t="inlineStr">
        <is>
          <t>MHC</t>
        </is>
      </c>
      <c r="D3" s="14" t="n">
        <v>45323</v>
      </c>
      <c r="E3" s="19" t="n">
        <v>87354.60000000001</v>
      </c>
      <c r="F3" s="19" t="n">
        <v>82510.46000000001</v>
      </c>
      <c r="G3" s="19" t="n">
        <v>4844.14</v>
      </c>
      <c r="H3" s="15" t="n">
        <v>0.0555</v>
      </c>
      <c r="I3" s="17" t="inlineStr">
        <is>
          <t>Monitor</t>
        </is>
      </c>
    </row>
    <row r="4">
      <c r="A4" s="13" t="inlineStr">
        <is>
          <t>MHC-01</t>
        </is>
      </c>
      <c r="B4" s="13" t="inlineStr">
        <is>
          <t>Sunrise Meadows</t>
        </is>
      </c>
      <c r="C4" s="13" t="inlineStr">
        <is>
          <t>MHC</t>
        </is>
      </c>
      <c r="D4" s="14" t="n">
        <v>45352</v>
      </c>
      <c r="E4" s="19" t="n">
        <v>89002.8</v>
      </c>
      <c r="F4" s="19" t="n">
        <v>84036.61</v>
      </c>
      <c r="G4" s="19" t="n">
        <v>4966.19</v>
      </c>
      <c r="H4" s="15" t="n">
        <v>0.0558</v>
      </c>
      <c r="I4" s="17" t="inlineStr">
        <is>
          <t>Monitor</t>
        </is>
      </c>
    </row>
    <row r="5">
      <c r="A5" s="13" t="inlineStr">
        <is>
          <t>MHC-01</t>
        </is>
      </c>
      <c r="B5" s="13" t="inlineStr">
        <is>
          <t>Sunrise Meadows</t>
        </is>
      </c>
      <c r="C5" s="13" t="inlineStr">
        <is>
          <t>MHC</t>
        </is>
      </c>
      <c r="D5" s="14" t="n">
        <v>45383</v>
      </c>
      <c r="E5" s="19" t="n">
        <v>89002.8</v>
      </c>
      <c r="F5" s="19" t="n">
        <v>84515.50999999999</v>
      </c>
      <c r="G5" s="19" t="n">
        <v>4487.29</v>
      </c>
      <c r="H5" s="15" t="n">
        <v>0.0504</v>
      </c>
      <c r="I5" s="17" t="inlineStr">
        <is>
          <t>Monitor</t>
        </is>
      </c>
    </row>
    <row r="6">
      <c r="A6" s="13" t="inlineStr">
        <is>
          <t>MHC-01</t>
        </is>
      </c>
      <c r="B6" s="13" t="inlineStr">
        <is>
          <t>Sunrise Meadows</t>
        </is>
      </c>
      <c r="C6" s="13" t="inlineStr">
        <is>
          <t>MHC</t>
        </is>
      </c>
      <c r="D6" s="14" t="n">
        <v>45413</v>
      </c>
      <c r="E6" s="19" t="n">
        <v>89002.8</v>
      </c>
      <c r="F6" s="19" t="n">
        <v>84701.16</v>
      </c>
      <c r="G6" s="19" t="n">
        <v>4301.64</v>
      </c>
      <c r="H6" s="15" t="n">
        <v>0.0483</v>
      </c>
      <c r="I6" s="18" t="inlineStr">
        <is>
          <t>Acceptable</t>
        </is>
      </c>
    </row>
    <row r="7">
      <c r="A7" s="13" t="inlineStr">
        <is>
          <t>MHC-01</t>
        </is>
      </c>
      <c r="B7" s="13" t="inlineStr">
        <is>
          <t>Sunrise Meadows</t>
        </is>
      </c>
      <c r="C7" s="13" t="inlineStr">
        <is>
          <t>MHC</t>
        </is>
      </c>
      <c r="D7" s="14" t="n">
        <v>45444</v>
      </c>
      <c r="E7" s="19" t="n">
        <v>89002.8</v>
      </c>
      <c r="F7" s="19" t="n">
        <v>83744.37</v>
      </c>
      <c r="G7" s="19" t="n">
        <v>5258.43</v>
      </c>
      <c r="H7" s="15" t="n">
        <v>0.0591</v>
      </c>
      <c r="I7" s="17" t="inlineStr">
        <is>
          <t>Monitor</t>
        </is>
      </c>
    </row>
    <row r="8">
      <c r="A8" s="13" t="inlineStr">
        <is>
          <t>MHC-01</t>
        </is>
      </c>
      <c r="B8" s="13" t="inlineStr">
        <is>
          <t>Sunrise Meadows</t>
        </is>
      </c>
      <c r="C8" s="13" t="inlineStr">
        <is>
          <t>MHC</t>
        </is>
      </c>
      <c r="D8" s="14" t="n">
        <v>45474</v>
      </c>
      <c r="E8" s="19" t="n">
        <v>88178.7</v>
      </c>
      <c r="F8" s="19" t="n">
        <v>82815.85000000001</v>
      </c>
      <c r="G8" s="19" t="n">
        <v>5362.85</v>
      </c>
      <c r="H8" s="15" t="n">
        <v>0.0608</v>
      </c>
      <c r="I8" s="17" t="inlineStr">
        <is>
          <t>Monitor</t>
        </is>
      </c>
    </row>
    <row r="9">
      <c r="A9" s="13" t="inlineStr">
        <is>
          <t>MHC-01</t>
        </is>
      </c>
      <c r="B9" s="13" t="inlineStr">
        <is>
          <t>Sunrise Meadows</t>
        </is>
      </c>
      <c r="C9" s="13" t="inlineStr">
        <is>
          <t>MHC</t>
        </is>
      </c>
      <c r="D9" s="14" t="n">
        <v>45505</v>
      </c>
      <c r="E9" s="19" t="n">
        <v>92299.2</v>
      </c>
      <c r="F9" s="19" t="n">
        <v>87555.81</v>
      </c>
      <c r="G9" s="19" t="n">
        <v>4743.39</v>
      </c>
      <c r="H9" s="15" t="n">
        <v>0.0514</v>
      </c>
      <c r="I9" s="17" t="inlineStr">
        <is>
          <t>Monitor</t>
        </is>
      </c>
    </row>
    <row r="10">
      <c r="A10" s="13" t="inlineStr">
        <is>
          <t>MHC-01</t>
        </is>
      </c>
      <c r="B10" s="13" t="inlineStr">
        <is>
          <t>Sunrise Meadows</t>
        </is>
      </c>
      <c r="C10" s="13" t="inlineStr">
        <is>
          <t>MHC</t>
        </is>
      </c>
      <c r="D10" s="14" t="n">
        <v>45536</v>
      </c>
      <c r="E10" s="19" t="n">
        <v>89002.8</v>
      </c>
      <c r="F10" s="19" t="n">
        <v>83920.33</v>
      </c>
      <c r="G10" s="19" t="n">
        <v>5082.47</v>
      </c>
      <c r="H10" s="15" t="n">
        <v>0.0571</v>
      </c>
      <c r="I10" s="17" t="inlineStr">
        <is>
          <t>Monitor</t>
        </is>
      </c>
    </row>
    <row r="11">
      <c r="A11" s="13" t="inlineStr">
        <is>
          <t>MHC-01</t>
        </is>
      </c>
      <c r="B11" s="13" t="inlineStr">
        <is>
          <t>Sunrise Meadows</t>
        </is>
      </c>
      <c r="C11" s="13" t="inlineStr">
        <is>
          <t>MHC</t>
        </is>
      </c>
      <c r="D11" s="14" t="n">
        <v>45566</v>
      </c>
      <c r="E11" s="19" t="n">
        <v>92299.2</v>
      </c>
      <c r="F11" s="19" t="n">
        <v>87406.2</v>
      </c>
      <c r="G11" s="19" t="n">
        <v>4893</v>
      </c>
      <c r="H11" s="15" t="n">
        <v>0.053</v>
      </c>
      <c r="I11" s="17" t="inlineStr">
        <is>
          <t>Monitor</t>
        </is>
      </c>
    </row>
    <row r="12">
      <c r="A12" s="13" t="inlineStr">
        <is>
          <t>MHC-01</t>
        </is>
      </c>
      <c r="B12" s="13" t="inlineStr">
        <is>
          <t>Sunrise Meadows</t>
        </is>
      </c>
      <c r="C12" s="13" t="inlineStr">
        <is>
          <t>MHC</t>
        </is>
      </c>
      <c r="D12" s="14" t="n">
        <v>45597</v>
      </c>
      <c r="E12" s="19" t="n">
        <v>91475.10000000001</v>
      </c>
      <c r="F12" s="19" t="n">
        <v>85783.69</v>
      </c>
      <c r="G12" s="19" t="n">
        <v>5691.41</v>
      </c>
      <c r="H12" s="15" t="n">
        <v>0.0622</v>
      </c>
      <c r="I12" s="17" t="inlineStr">
        <is>
          <t>Monitor</t>
        </is>
      </c>
    </row>
    <row r="13">
      <c r="A13" s="13" t="inlineStr">
        <is>
          <t>MHC-01</t>
        </is>
      </c>
      <c r="B13" s="13" t="inlineStr">
        <is>
          <t>Sunrise Meadows</t>
        </is>
      </c>
      <c r="C13" s="13" t="inlineStr">
        <is>
          <t>MHC</t>
        </is>
      </c>
      <c r="D13" s="14" t="n">
        <v>45627</v>
      </c>
      <c r="E13" s="19" t="n">
        <v>89002.8</v>
      </c>
      <c r="F13" s="19" t="n">
        <v>83378.71000000001</v>
      </c>
      <c r="G13" s="19" t="n">
        <v>5624.09</v>
      </c>
      <c r="H13" s="15" t="n">
        <v>0.06320000000000001</v>
      </c>
      <c r="I13" s="17" t="inlineStr">
        <is>
          <t>Monitor</t>
        </is>
      </c>
    </row>
    <row r="14">
      <c r="A14" s="13" t="inlineStr">
        <is>
          <t>MHC-02</t>
        </is>
      </c>
      <c r="B14" s="13" t="inlineStr">
        <is>
          <t>Desert Palms</t>
        </is>
      </c>
      <c r="C14" s="13" t="inlineStr">
        <is>
          <t>MHC</t>
        </is>
      </c>
      <c r="D14" s="14" t="n">
        <v>45292</v>
      </c>
      <c r="E14" s="19" t="n">
        <v>58194.58</v>
      </c>
      <c r="F14" s="19" t="n">
        <v>54962.41</v>
      </c>
      <c r="G14" s="19" t="n">
        <v>3232.17</v>
      </c>
      <c r="H14" s="15" t="n">
        <v>0.0555</v>
      </c>
      <c r="I14" s="17" t="inlineStr">
        <is>
          <t>Monitor</t>
        </is>
      </c>
    </row>
    <row r="15">
      <c r="A15" s="13" t="inlineStr">
        <is>
          <t>MHC-02</t>
        </is>
      </c>
      <c r="B15" s="13" t="inlineStr">
        <is>
          <t>Desert Palms</t>
        </is>
      </c>
      <c r="C15" s="13" t="inlineStr">
        <is>
          <t>MHC</t>
        </is>
      </c>
      <c r="D15" s="14" t="n">
        <v>45323</v>
      </c>
      <c r="E15" s="19" t="n">
        <v>58194.58</v>
      </c>
      <c r="F15" s="19" t="n">
        <v>54667.26</v>
      </c>
      <c r="G15" s="19" t="n">
        <v>3527.32</v>
      </c>
      <c r="H15" s="15" t="n">
        <v>0.0606</v>
      </c>
      <c r="I15" s="17" t="inlineStr">
        <is>
          <t>Monitor</t>
        </is>
      </c>
    </row>
    <row r="16">
      <c r="A16" s="13" t="inlineStr">
        <is>
          <t>MHC-02</t>
        </is>
      </c>
      <c r="B16" s="13" t="inlineStr">
        <is>
          <t>Desert Palms</t>
        </is>
      </c>
      <c r="C16" s="13" t="inlineStr">
        <is>
          <t>MHC</t>
        </is>
      </c>
      <c r="D16" s="14" t="n">
        <v>45352</v>
      </c>
      <c r="E16" s="19" t="n">
        <v>58904.27</v>
      </c>
      <c r="F16" s="19" t="n">
        <v>55227.71</v>
      </c>
      <c r="G16" s="19" t="n">
        <v>3676.56</v>
      </c>
      <c r="H16" s="15" t="n">
        <v>0.0624</v>
      </c>
      <c r="I16" s="17" t="inlineStr">
        <is>
          <t>Monitor</t>
        </is>
      </c>
    </row>
    <row r="17">
      <c r="A17" s="13" t="inlineStr">
        <is>
          <t>MHC-02</t>
        </is>
      </c>
      <c r="B17" s="13" t="inlineStr">
        <is>
          <t>Desert Palms</t>
        </is>
      </c>
      <c r="C17" s="13" t="inlineStr">
        <is>
          <t>MHC</t>
        </is>
      </c>
      <c r="D17" s="14" t="n">
        <v>45383</v>
      </c>
      <c r="E17" s="19" t="n">
        <v>58904.27</v>
      </c>
      <c r="F17" s="19" t="n">
        <v>55375.44</v>
      </c>
      <c r="G17" s="19" t="n">
        <v>3528.83</v>
      </c>
      <c r="H17" s="15" t="n">
        <v>0.0599</v>
      </c>
      <c r="I17" s="17" t="inlineStr">
        <is>
          <t>Monitor</t>
        </is>
      </c>
    </row>
    <row r="18">
      <c r="A18" s="13" t="inlineStr">
        <is>
          <t>MHC-02</t>
        </is>
      </c>
      <c r="B18" s="13" t="inlineStr">
        <is>
          <t>Desert Palms</t>
        </is>
      </c>
      <c r="C18" s="13" t="inlineStr">
        <is>
          <t>MHC</t>
        </is>
      </c>
      <c r="D18" s="14" t="n">
        <v>45413</v>
      </c>
      <c r="E18" s="19" t="n">
        <v>61743.03</v>
      </c>
      <c r="F18" s="19" t="n">
        <v>57537.99</v>
      </c>
      <c r="G18" s="19" t="n">
        <v>4205.04</v>
      </c>
      <c r="H18" s="15" t="n">
        <v>0.06809999999999999</v>
      </c>
      <c r="I18" s="17" t="inlineStr">
        <is>
          <t>Monitor</t>
        </is>
      </c>
    </row>
    <row r="19">
      <c r="A19" s="13" t="inlineStr">
        <is>
          <t>MHC-02</t>
        </is>
      </c>
      <c r="B19" s="13" t="inlineStr">
        <is>
          <t>Desert Palms</t>
        </is>
      </c>
      <c r="C19" s="13" t="inlineStr">
        <is>
          <t>MHC</t>
        </is>
      </c>
      <c r="D19" s="14" t="n">
        <v>45444</v>
      </c>
      <c r="E19" s="19" t="n">
        <v>61743.03</v>
      </c>
      <c r="F19" s="19" t="n">
        <v>57814.75</v>
      </c>
      <c r="G19" s="19" t="n">
        <v>3928.28</v>
      </c>
      <c r="H19" s="15" t="n">
        <v>0.0636</v>
      </c>
      <c r="I19" s="17" t="inlineStr">
        <is>
          <t>Monitor</t>
        </is>
      </c>
    </row>
    <row r="20">
      <c r="A20" s="13" t="inlineStr">
        <is>
          <t>MHC-02</t>
        </is>
      </c>
      <c r="B20" s="13" t="inlineStr">
        <is>
          <t>Desert Palms</t>
        </is>
      </c>
      <c r="C20" s="13" t="inlineStr">
        <is>
          <t>MHC</t>
        </is>
      </c>
      <c r="D20" s="14" t="n">
        <v>45474</v>
      </c>
      <c r="E20" s="19" t="n">
        <v>58904.27</v>
      </c>
      <c r="F20" s="19" t="n">
        <v>55252.43</v>
      </c>
      <c r="G20" s="19" t="n">
        <v>3651.84</v>
      </c>
      <c r="H20" s="15" t="n">
        <v>0.062</v>
      </c>
      <c r="I20" s="17" t="inlineStr">
        <is>
          <t>Monitor</t>
        </is>
      </c>
    </row>
    <row r="21">
      <c r="A21" s="13" t="inlineStr">
        <is>
          <t>MHC-02</t>
        </is>
      </c>
      <c r="B21" s="13" t="inlineStr">
        <is>
          <t>Desert Palms</t>
        </is>
      </c>
      <c r="C21" s="13" t="inlineStr">
        <is>
          <t>MHC</t>
        </is>
      </c>
      <c r="D21" s="14" t="n">
        <v>45505</v>
      </c>
      <c r="E21" s="19" t="n">
        <v>61743.03</v>
      </c>
      <c r="F21" s="19" t="n">
        <v>57616.42</v>
      </c>
      <c r="G21" s="19" t="n">
        <v>4126.61</v>
      </c>
      <c r="H21" s="15" t="n">
        <v>0.0668</v>
      </c>
      <c r="I21" s="17" t="inlineStr">
        <is>
          <t>Monitor</t>
        </is>
      </c>
    </row>
    <row r="22">
      <c r="A22" s="13" t="inlineStr">
        <is>
          <t>MHC-02</t>
        </is>
      </c>
      <c r="B22" s="13" t="inlineStr">
        <is>
          <t>Desert Palms</t>
        </is>
      </c>
      <c r="C22" s="13" t="inlineStr">
        <is>
          <t>MHC</t>
        </is>
      </c>
      <c r="D22" s="14" t="n">
        <v>45536</v>
      </c>
      <c r="E22" s="19" t="n">
        <v>60323.65</v>
      </c>
      <c r="F22" s="19" t="n">
        <v>56099.07</v>
      </c>
      <c r="G22" s="19" t="n">
        <v>4224.58</v>
      </c>
      <c r="H22" s="15" t="n">
        <v>0.07000000000000001</v>
      </c>
      <c r="I22" s="17" t="inlineStr">
        <is>
          <t>Monitor</t>
        </is>
      </c>
    </row>
    <row r="23">
      <c r="A23" s="13" t="inlineStr">
        <is>
          <t>MHC-02</t>
        </is>
      </c>
      <c r="B23" s="13" t="inlineStr">
        <is>
          <t>Desert Palms</t>
        </is>
      </c>
      <c r="C23" s="13" t="inlineStr">
        <is>
          <t>MHC</t>
        </is>
      </c>
      <c r="D23" s="14" t="n">
        <v>45566</v>
      </c>
      <c r="E23" s="19" t="n">
        <v>62452.72</v>
      </c>
      <c r="F23" s="19" t="n">
        <v>58418.55</v>
      </c>
      <c r="G23" s="19" t="n">
        <v>4034.17</v>
      </c>
      <c r="H23" s="15" t="n">
        <v>0.0646</v>
      </c>
      <c r="I23" s="17" t="inlineStr">
        <is>
          <t>Monitor</t>
        </is>
      </c>
    </row>
    <row r="24">
      <c r="A24" s="13" t="inlineStr">
        <is>
          <t>MHC-02</t>
        </is>
      </c>
      <c r="B24" s="13" t="inlineStr">
        <is>
          <t>Desert Palms</t>
        </is>
      </c>
      <c r="C24" s="13" t="inlineStr">
        <is>
          <t>MHC</t>
        </is>
      </c>
      <c r="D24" s="14" t="n">
        <v>45597</v>
      </c>
      <c r="E24" s="19" t="n">
        <v>61743.03</v>
      </c>
      <c r="F24" s="19" t="n">
        <v>57616.65</v>
      </c>
      <c r="G24" s="19" t="n">
        <v>4126.38</v>
      </c>
      <c r="H24" s="15" t="n">
        <v>0.0668</v>
      </c>
      <c r="I24" s="17" t="inlineStr">
        <is>
          <t>Monitor</t>
        </is>
      </c>
    </row>
    <row r="25">
      <c r="A25" s="13" t="inlineStr">
        <is>
          <t>MHC-02</t>
        </is>
      </c>
      <c r="B25" s="13" t="inlineStr">
        <is>
          <t>Desert Palms</t>
        </is>
      </c>
      <c r="C25" s="13" t="inlineStr">
        <is>
          <t>MHC</t>
        </is>
      </c>
      <c r="D25" s="14" t="n">
        <v>45627</v>
      </c>
      <c r="E25" s="19" t="n">
        <v>60323.65</v>
      </c>
      <c r="F25" s="19" t="n">
        <v>55742.56</v>
      </c>
      <c r="G25" s="19" t="n">
        <v>4581.09</v>
      </c>
      <c r="H25" s="15" t="n">
        <v>0.0759</v>
      </c>
      <c r="I25" s="17" t="inlineStr">
        <is>
          <t>Monitor</t>
        </is>
      </c>
    </row>
    <row r="26">
      <c r="A26" s="13" t="inlineStr">
        <is>
          <t>MHC-03</t>
        </is>
      </c>
      <c r="B26" s="13" t="inlineStr">
        <is>
          <t>Canyon Ridge</t>
        </is>
      </c>
      <c r="C26" s="13" t="inlineStr">
        <is>
          <t>MHC</t>
        </is>
      </c>
      <c r="D26" s="14" t="n">
        <v>45292</v>
      </c>
      <c r="E26" s="19" t="n">
        <v>67667.73</v>
      </c>
      <c r="F26" s="19" t="n">
        <v>59425.9</v>
      </c>
      <c r="G26" s="19" t="n">
        <v>8241.83</v>
      </c>
      <c r="H26" s="15" t="n">
        <v>0.1218</v>
      </c>
      <c r="I26" s="16" t="inlineStr">
        <is>
          <t>Critical</t>
        </is>
      </c>
    </row>
    <row r="27">
      <c r="A27" s="13" t="inlineStr">
        <is>
          <t>MHC-03</t>
        </is>
      </c>
      <c r="B27" s="13" t="inlineStr">
        <is>
          <t>Canyon Ridge</t>
        </is>
      </c>
      <c r="C27" s="13" t="inlineStr">
        <is>
          <t>MHC</t>
        </is>
      </c>
      <c r="D27" s="14" t="n">
        <v>45323</v>
      </c>
      <c r="E27" s="19" t="n">
        <v>68445.52</v>
      </c>
      <c r="F27" s="19" t="n">
        <v>60034.01</v>
      </c>
      <c r="G27" s="19" t="n">
        <v>8411.51</v>
      </c>
      <c r="H27" s="15" t="n">
        <v>0.1229</v>
      </c>
      <c r="I27" s="16" t="inlineStr">
        <is>
          <t>Critical</t>
        </is>
      </c>
    </row>
    <row r="28">
      <c r="A28" s="13" t="inlineStr">
        <is>
          <t>MHC-03</t>
        </is>
      </c>
      <c r="B28" s="13" t="inlineStr">
        <is>
          <t>Canyon Ridge</t>
        </is>
      </c>
      <c r="C28" s="13" t="inlineStr">
        <is>
          <t>MHC</t>
        </is>
      </c>
      <c r="D28" s="14" t="n">
        <v>45352</v>
      </c>
      <c r="E28" s="19" t="n">
        <v>67667.73</v>
      </c>
      <c r="F28" s="19" t="n">
        <v>59041.2</v>
      </c>
      <c r="G28" s="19" t="n">
        <v>8626.530000000001</v>
      </c>
      <c r="H28" s="15" t="n">
        <v>0.1275</v>
      </c>
      <c r="I28" s="16" t="inlineStr">
        <is>
          <t>Critical</t>
        </is>
      </c>
    </row>
    <row r="29">
      <c r="A29" s="13" t="inlineStr">
        <is>
          <t>MHC-03</t>
        </is>
      </c>
      <c r="B29" s="13" t="inlineStr">
        <is>
          <t>Canyon Ridge</t>
        </is>
      </c>
      <c r="C29" s="13" t="inlineStr">
        <is>
          <t>MHC</t>
        </is>
      </c>
      <c r="D29" s="14" t="n">
        <v>45383</v>
      </c>
      <c r="E29" s="19" t="n">
        <v>66112.14999999999</v>
      </c>
      <c r="F29" s="19" t="n">
        <v>57758.14</v>
      </c>
      <c r="G29" s="19" t="n">
        <v>8354.01</v>
      </c>
      <c r="H29" s="15" t="n">
        <v>0.1264</v>
      </c>
      <c r="I29" s="16" t="inlineStr">
        <is>
          <t>Critical</t>
        </is>
      </c>
    </row>
    <row r="30">
      <c r="A30" s="13" t="inlineStr">
        <is>
          <t>MHC-03</t>
        </is>
      </c>
      <c r="B30" s="13" t="inlineStr">
        <is>
          <t>Canyon Ridge</t>
        </is>
      </c>
      <c r="C30" s="13" t="inlineStr">
        <is>
          <t>MHC</t>
        </is>
      </c>
      <c r="D30" s="14" t="n">
        <v>45413</v>
      </c>
      <c r="E30" s="19" t="n">
        <v>67667.73</v>
      </c>
      <c r="F30" s="19" t="n">
        <v>58786.89</v>
      </c>
      <c r="G30" s="19" t="n">
        <v>8880.84</v>
      </c>
      <c r="H30" s="15" t="n">
        <v>0.1312</v>
      </c>
      <c r="I30" s="16" t="inlineStr">
        <is>
          <t>Critical</t>
        </is>
      </c>
    </row>
    <row r="31">
      <c r="A31" s="13" t="inlineStr">
        <is>
          <t>MHC-03</t>
        </is>
      </c>
      <c r="B31" s="13" t="inlineStr">
        <is>
          <t>Canyon Ridge</t>
        </is>
      </c>
      <c r="C31" s="13" t="inlineStr">
        <is>
          <t>MHC</t>
        </is>
      </c>
      <c r="D31" s="14" t="n">
        <v>45444</v>
      </c>
      <c r="E31" s="19" t="n">
        <v>69223.31</v>
      </c>
      <c r="F31" s="19" t="n">
        <v>59792.41</v>
      </c>
      <c r="G31" s="19" t="n">
        <v>9430.9</v>
      </c>
      <c r="H31" s="15" t="n">
        <v>0.1362</v>
      </c>
      <c r="I31" s="16" t="inlineStr">
        <is>
          <t>Critical</t>
        </is>
      </c>
    </row>
    <row r="32">
      <c r="A32" s="13" t="inlineStr">
        <is>
          <t>MHC-03</t>
        </is>
      </c>
      <c r="B32" s="13" t="inlineStr">
        <is>
          <t>Canyon Ridge</t>
        </is>
      </c>
      <c r="C32" s="13" t="inlineStr">
        <is>
          <t>MHC</t>
        </is>
      </c>
      <c r="D32" s="14" t="n">
        <v>45474</v>
      </c>
      <c r="E32" s="19" t="n">
        <v>69223.31</v>
      </c>
      <c r="F32" s="19" t="n">
        <v>59332.83</v>
      </c>
      <c r="G32" s="19" t="n">
        <v>9890.48</v>
      </c>
      <c r="H32" s="15" t="n">
        <v>0.1429</v>
      </c>
      <c r="I32" s="16" t="inlineStr">
        <is>
          <t>Critical</t>
        </is>
      </c>
    </row>
    <row r="33">
      <c r="A33" s="13" t="inlineStr">
        <is>
          <t>MHC-03</t>
        </is>
      </c>
      <c r="B33" s="13" t="inlineStr">
        <is>
          <t>Canyon Ridge</t>
        </is>
      </c>
      <c r="C33" s="13" t="inlineStr">
        <is>
          <t>MHC</t>
        </is>
      </c>
      <c r="D33" s="14" t="n">
        <v>45505</v>
      </c>
      <c r="E33" s="19" t="n">
        <v>69223.31</v>
      </c>
      <c r="F33" s="19" t="n">
        <v>59378.65</v>
      </c>
      <c r="G33" s="19" t="n">
        <v>9844.66</v>
      </c>
      <c r="H33" s="15" t="n">
        <v>0.1422</v>
      </c>
      <c r="I33" s="16" t="inlineStr">
        <is>
          <t>Critical</t>
        </is>
      </c>
    </row>
    <row r="34">
      <c r="A34" s="13" t="inlineStr">
        <is>
          <t>MHC-03</t>
        </is>
      </c>
      <c r="B34" s="13" t="inlineStr">
        <is>
          <t>Canyon Ridge</t>
        </is>
      </c>
      <c r="C34" s="13" t="inlineStr">
        <is>
          <t>MHC</t>
        </is>
      </c>
      <c r="D34" s="14" t="n">
        <v>45536</v>
      </c>
      <c r="E34" s="19" t="n">
        <v>69223.31</v>
      </c>
      <c r="F34" s="19" t="n">
        <v>59135.15</v>
      </c>
      <c r="G34" s="19" t="n">
        <v>10088.16</v>
      </c>
      <c r="H34" s="15" t="n">
        <v>0.1457</v>
      </c>
      <c r="I34" s="16" t="inlineStr">
        <is>
          <t>Critical</t>
        </is>
      </c>
    </row>
    <row r="35">
      <c r="A35" s="13" t="inlineStr">
        <is>
          <t>MHC-03</t>
        </is>
      </c>
      <c r="B35" s="13" t="inlineStr">
        <is>
          <t>Canyon Ridge</t>
        </is>
      </c>
      <c r="C35" s="13" t="inlineStr">
        <is>
          <t>MHC</t>
        </is>
      </c>
      <c r="D35" s="14" t="n">
        <v>45566</v>
      </c>
      <c r="E35" s="19" t="n">
        <v>69223.31</v>
      </c>
      <c r="F35" s="19" t="n">
        <v>59007.39</v>
      </c>
      <c r="G35" s="19" t="n">
        <v>10215.92</v>
      </c>
      <c r="H35" s="15" t="n">
        <v>0.1476</v>
      </c>
      <c r="I35" s="16" t="inlineStr">
        <is>
          <t>Critical</t>
        </is>
      </c>
    </row>
    <row r="36">
      <c r="A36" s="13" t="inlineStr">
        <is>
          <t>MHC-03</t>
        </is>
      </c>
      <c r="B36" s="13" t="inlineStr">
        <is>
          <t>Canyon Ridge</t>
        </is>
      </c>
      <c r="C36" s="13" t="inlineStr">
        <is>
          <t>MHC</t>
        </is>
      </c>
      <c r="D36" s="14" t="n">
        <v>45597</v>
      </c>
      <c r="E36" s="19" t="n">
        <v>70778.89</v>
      </c>
      <c r="F36" s="19" t="n">
        <v>59600.29</v>
      </c>
      <c r="G36" s="19" t="n">
        <v>11178.6</v>
      </c>
      <c r="H36" s="15" t="n">
        <v>0.1579</v>
      </c>
      <c r="I36" s="16" t="inlineStr">
        <is>
          <t>Critical</t>
        </is>
      </c>
    </row>
    <row r="37">
      <c r="A37" s="13" t="inlineStr">
        <is>
          <t>MHC-03</t>
        </is>
      </c>
      <c r="B37" s="13" t="inlineStr">
        <is>
          <t>Canyon Ridge</t>
        </is>
      </c>
      <c r="C37" s="13" t="inlineStr">
        <is>
          <t>MHC</t>
        </is>
      </c>
      <c r="D37" s="14" t="n">
        <v>45627</v>
      </c>
      <c r="E37" s="19" t="n">
        <v>69223.31</v>
      </c>
      <c r="F37" s="19" t="n">
        <v>58372.74</v>
      </c>
      <c r="G37" s="19" t="n">
        <v>10850.57</v>
      </c>
      <c r="H37" s="15" t="n">
        <v>0.1567</v>
      </c>
      <c r="I37" s="16" t="inlineStr">
        <is>
          <t>Critical</t>
        </is>
      </c>
    </row>
    <row r="38">
      <c r="A38" s="13" t="inlineStr">
        <is>
          <t>MHC-04</t>
        </is>
      </c>
      <c r="B38" s="13" t="inlineStr">
        <is>
          <t>Saguaro Estates</t>
        </is>
      </c>
      <c r="C38" s="13" t="inlineStr">
        <is>
          <t>MHC</t>
        </is>
      </c>
      <c r="D38" s="14" t="n">
        <v>45292</v>
      </c>
      <c r="E38" s="19" t="n">
        <v>101104.49</v>
      </c>
      <c r="F38" s="19" t="n">
        <v>98590.52</v>
      </c>
      <c r="G38" s="19" t="n">
        <v>2513.97</v>
      </c>
      <c r="H38" s="15" t="n">
        <v>0.0249</v>
      </c>
      <c r="I38" s="18" t="inlineStr">
        <is>
          <t>Acceptable</t>
        </is>
      </c>
    </row>
    <row r="39">
      <c r="A39" s="13" t="inlineStr">
        <is>
          <t>MHC-04</t>
        </is>
      </c>
      <c r="B39" s="13" t="inlineStr">
        <is>
          <t>Saguaro Estates</t>
        </is>
      </c>
      <c r="C39" s="13" t="inlineStr">
        <is>
          <t>MHC</t>
        </is>
      </c>
      <c r="D39" s="14" t="n">
        <v>45323</v>
      </c>
      <c r="E39" s="19" t="n">
        <v>103419.86</v>
      </c>
      <c r="F39" s="19" t="n">
        <v>100811.12</v>
      </c>
      <c r="G39" s="19" t="n">
        <v>2608.74</v>
      </c>
      <c r="H39" s="15" t="n">
        <v>0.0252</v>
      </c>
      <c r="I39" s="18" t="inlineStr">
        <is>
          <t>Acceptable</t>
        </is>
      </c>
    </row>
    <row r="40">
      <c r="A40" s="13" t="inlineStr">
        <is>
          <t>MHC-04</t>
        </is>
      </c>
      <c r="B40" s="13" t="inlineStr">
        <is>
          <t>Saguaro Estates</t>
        </is>
      </c>
      <c r="C40" s="13" t="inlineStr">
        <is>
          <t>MHC</t>
        </is>
      </c>
      <c r="D40" s="14" t="n">
        <v>45352</v>
      </c>
      <c r="E40" s="19" t="n">
        <v>101876.28</v>
      </c>
      <c r="F40" s="19" t="n">
        <v>100178.16</v>
      </c>
      <c r="G40" s="19" t="n">
        <v>1698.12</v>
      </c>
      <c r="H40" s="15" t="n">
        <v>0.0167</v>
      </c>
      <c r="I40" s="18" t="inlineStr">
        <is>
          <t>Acceptable</t>
        </is>
      </c>
    </row>
    <row r="41">
      <c r="A41" s="13" t="inlineStr">
        <is>
          <t>MHC-04</t>
        </is>
      </c>
      <c r="B41" s="13" t="inlineStr">
        <is>
          <t>Saguaro Estates</t>
        </is>
      </c>
      <c r="C41" s="13" t="inlineStr">
        <is>
          <t>MHC</t>
        </is>
      </c>
      <c r="D41" s="14" t="n">
        <v>45383</v>
      </c>
      <c r="E41" s="19" t="n">
        <v>103419.86</v>
      </c>
      <c r="F41" s="19" t="n">
        <v>101394.55</v>
      </c>
      <c r="G41" s="19" t="n">
        <v>2025.31</v>
      </c>
      <c r="H41" s="15" t="n">
        <v>0.0196</v>
      </c>
      <c r="I41" s="18" t="inlineStr">
        <is>
          <t>Acceptable</t>
        </is>
      </c>
    </row>
    <row r="42">
      <c r="A42" s="13" t="inlineStr">
        <is>
          <t>MHC-04</t>
        </is>
      </c>
      <c r="B42" s="13" t="inlineStr">
        <is>
          <t>Saguaro Estates</t>
        </is>
      </c>
      <c r="C42" s="13" t="inlineStr">
        <is>
          <t>MHC</t>
        </is>
      </c>
      <c r="D42" s="14" t="n">
        <v>45413</v>
      </c>
      <c r="E42" s="19" t="n">
        <v>104191.65</v>
      </c>
      <c r="F42" s="19" t="n">
        <v>101517.67</v>
      </c>
      <c r="G42" s="19" t="n">
        <v>2673.98</v>
      </c>
      <c r="H42" s="15" t="n">
        <v>0.0257</v>
      </c>
      <c r="I42" s="18" t="inlineStr">
        <is>
          <t>Acceptable</t>
        </is>
      </c>
    </row>
    <row r="43">
      <c r="A43" s="13" t="inlineStr">
        <is>
          <t>MHC-04</t>
        </is>
      </c>
      <c r="B43" s="13" t="inlineStr">
        <is>
          <t>Saguaro Estates</t>
        </is>
      </c>
      <c r="C43" s="13" t="inlineStr">
        <is>
          <t>MHC</t>
        </is>
      </c>
      <c r="D43" s="14" t="n">
        <v>45444</v>
      </c>
      <c r="E43" s="19" t="n">
        <v>105735.23</v>
      </c>
      <c r="F43" s="19" t="n">
        <v>103502.49</v>
      </c>
      <c r="G43" s="19" t="n">
        <v>2232.74</v>
      </c>
      <c r="H43" s="15" t="n">
        <v>0.0211</v>
      </c>
      <c r="I43" s="18" t="inlineStr">
        <is>
          <t>Acceptable</t>
        </is>
      </c>
    </row>
    <row r="44">
      <c r="A44" s="13" t="inlineStr">
        <is>
          <t>MHC-04</t>
        </is>
      </c>
      <c r="B44" s="13" t="inlineStr">
        <is>
          <t>Saguaro Estates</t>
        </is>
      </c>
      <c r="C44" s="13" t="inlineStr">
        <is>
          <t>MHC</t>
        </is>
      </c>
      <c r="D44" s="14" t="n">
        <v>45474</v>
      </c>
      <c r="E44" s="19" t="n">
        <v>104191.65</v>
      </c>
      <c r="F44" s="19" t="n">
        <v>101999.22</v>
      </c>
      <c r="G44" s="19" t="n">
        <v>2192.43</v>
      </c>
      <c r="H44" s="15" t="n">
        <v>0.021</v>
      </c>
      <c r="I44" s="18" t="inlineStr">
        <is>
          <t>Acceptable</t>
        </is>
      </c>
    </row>
    <row r="45">
      <c r="A45" s="13" t="inlineStr">
        <is>
          <t>MHC-04</t>
        </is>
      </c>
      <c r="B45" s="13" t="inlineStr">
        <is>
          <t>Saguaro Estates</t>
        </is>
      </c>
      <c r="C45" s="13" t="inlineStr">
        <is>
          <t>MHC</t>
        </is>
      </c>
      <c r="D45" s="14" t="n">
        <v>45505</v>
      </c>
      <c r="E45" s="19" t="n">
        <v>103419.86</v>
      </c>
      <c r="F45" s="19" t="n">
        <v>100152.85</v>
      </c>
      <c r="G45" s="19" t="n">
        <v>3267.01</v>
      </c>
      <c r="H45" s="15" t="n">
        <v>0.0316</v>
      </c>
      <c r="I45" s="18" t="inlineStr">
        <is>
          <t>Acceptable</t>
        </is>
      </c>
    </row>
    <row r="46">
      <c r="A46" s="13" t="inlineStr">
        <is>
          <t>MHC-04</t>
        </is>
      </c>
      <c r="B46" s="13" t="inlineStr">
        <is>
          <t>Saguaro Estates</t>
        </is>
      </c>
      <c r="C46" s="13" t="inlineStr">
        <is>
          <t>MHC</t>
        </is>
      </c>
      <c r="D46" s="14" t="n">
        <v>45536</v>
      </c>
      <c r="E46" s="19" t="n">
        <v>105735.23</v>
      </c>
      <c r="F46" s="19" t="n">
        <v>102761.4</v>
      </c>
      <c r="G46" s="19" t="n">
        <v>2973.83</v>
      </c>
      <c r="H46" s="15" t="n">
        <v>0.0281</v>
      </c>
      <c r="I46" s="18" t="inlineStr">
        <is>
          <t>Acceptable</t>
        </is>
      </c>
    </row>
    <row r="47">
      <c r="A47" s="13" t="inlineStr">
        <is>
          <t>MHC-04</t>
        </is>
      </c>
      <c r="B47" s="13" t="inlineStr">
        <is>
          <t>Saguaro Estates</t>
        </is>
      </c>
      <c r="C47" s="13" t="inlineStr">
        <is>
          <t>MHC</t>
        </is>
      </c>
      <c r="D47" s="14" t="n">
        <v>45566</v>
      </c>
      <c r="E47" s="19" t="n">
        <v>106507.02</v>
      </c>
      <c r="F47" s="19" t="n">
        <v>103540.39</v>
      </c>
      <c r="G47" s="19" t="n">
        <v>2966.63</v>
      </c>
      <c r="H47" s="15" t="n">
        <v>0.0279</v>
      </c>
      <c r="I47" s="18" t="inlineStr">
        <is>
          <t>Acceptable</t>
        </is>
      </c>
    </row>
    <row r="48">
      <c r="A48" s="13" t="inlineStr">
        <is>
          <t>MHC-04</t>
        </is>
      </c>
      <c r="B48" s="13" t="inlineStr">
        <is>
          <t>Saguaro Estates</t>
        </is>
      </c>
      <c r="C48" s="13" t="inlineStr">
        <is>
          <t>MHC</t>
        </is>
      </c>
      <c r="D48" s="14" t="n">
        <v>45597</v>
      </c>
      <c r="E48" s="19" t="n">
        <v>104191.65</v>
      </c>
      <c r="F48" s="19" t="n">
        <v>100804.76</v>
      </c>
      <c r="G48" s="19" t="n">
        <v>3386.89</v>
      </c>
      <c r="H48" s="15" t="n">
        <v>0.0325</v>
      </c>
      <c r="I48" s="18" t="inlineStr">
        <is>
          <t>Acceptable</t>
        </is>
      </c>
    </row>
    <row r="49">
      <c r="A49" s="13" t="inlineStr">
        <is>
          <t>MHC-04</t>
        </is>
      </c>
      <c r="B49" s="13" t="inlineStr">
        <is>
          <t>Saguaro Estates</t>
        </is>
      </c>
      <c r="C49" s="13" t="inlineStr">
        <is>
          <t>MHC</t>
        </is>
      </c>
      <c r="D49" s="14" t="n">
        <v>45627</v>
      </c>
      <c r="E49" s="19" t="n">
        <v>106507.02</v>
      </c>
      <c r="F49" s="19" t="n">
        <v>102918.8</v>
      </c>
      <c r="G49" s="19" t="n">
        <v>3588.22</v>
      </c>
      <c r="H49" s="15" t="n">
        <v>0.0337</v>
      </c>
      <c r="I49" s="18" t="inlineStr">
        <is>
          <t>Acceptable</t>
        </is>
      </c>
    </row>
    <row r="50">
      <c r="A50" s="13" t="inlineStr">
        <is>
          <t>MHC-05</t>
        </is>
      </c>
      <c r="B50" s="13" t="inlineStr">
        <is>
          <t>Pinon Pines</t>
        </is>
      </c>
      <c r="C50" s="13" t="inlineStr">
        <is>
          <t>MHC</t>
        </is>
      </c>
      <c r="D50" s="14" t="n">
        <v>45292</v>
      </c>
      <c r="E50" s="19" t="n">
        <v>46959.33</v>
      </c>
      <c r="F50" s="19" t="n">
        <v>42907.45</v>
      </c>
      <c r="G50" s="19" t="n">
        <v>4051.88</v>
      </c>
      <c r="H50" s="15" t="n">
        <v>0.0863</v>
      </c>
      <c r="I50" s="20" t="inlineStr">
        <is>
          <t>At Risk</t>
        </is>
      </c>
    </row>
    <row r="51">
      <c r="A51" s="13" t="inlineStr">
        <is>
          <t>MHC-05</t>
        </is>
      </c>
      <c r="B51" s="13" t="inlineStr">
        <is>
          <t>Pinon Pines</t>
        </is>
      </c>
      <c r="C51" s="13" t="inlineStr">
        <is>
          <t>MHC</t>
        </is>
      </c>
      <c r="D51" s="14" t="n">
        <v>45323</v>
      </c>
      <c r="E51" s="19" t="n">
        <v>50362.18</v>
      </c>
      <c r="F51" s="19" t="n">
        <v>46164.74</v>
      </c>
      <c r="G51" s="19" t="n">
        <v>4197.44</v>
      </c>
      <c r="H51" s="15" t="n">
        <v>0.0833</v>
      </c>
      <c r="I51" s="20" t="inlineStr">
        <is>
          <t>At Risk</t>
        </is>
      </c>
    </row>
    <row r="52">
      <c r="A52" s="13" t="inlineStr">
        <is>
          <t>MHC-05</t>
        </is>
      </c>
      <c r="B52" s="13" t="inlineStr">
        <is>
          <t>Pinon Pines</t>
        </is>
      </c>
      <c r="C52" s="13" t="inlineStr">
        <is>
          <t>MHC</t>
        </is>
      </c>
      <c r="D52" s="14" t="n">
        <v>45352</v>
      </c>
      <c r="E52" s="19" t="n">
        <v>49681.61</v>
      </c>
      <c r="F52" s="19" t="n">
        <v>45432.03</v>
      </c>
      <c r="G52" s="19" t="n">
        <v>4249.58</v>
      </c>
      <c r="H52" s="15" t="n">
        <v>0.08550000000000001</v>
      </c>
      <c r="I52" s="20" t="inlineStr">
        <is>
          <t>At Risk</t>
        </is>
      </c>
    </row>
    <row r="53">
      <c r="A53" s="13" t="inlineStr">
        <is>
          <t>MHC-05</t>
        </is>
      </c>
      <c r="B53" s="13" t="inlineStr">
        <is>
          <t>Pinon Pines</t>
        </is>
      </c>
      <c r="C53" s="13" t="inlineStr">
        <is>
          <t>MHC</t>
        </is>
      </c>
      <c r="D53" s="14" t="n">
        <v>45383</v>
      </c>
      <c r="E53" s="19" t="n">
        <v>51042.75</v>
      </c>
      <c r="F53" s="19" t="n">
        <v>46774.13</v>
      </c>
      <c r="G53" s="19" t="n">
        <v>4268.62</v>
      </c>
      <c r="H53" s="15" t="n">
        <v>0.08359999999999999</v>
      </c>
      <c r="I53" s="20" t="inlineStr">
        <is>
          <t>At Risk</t>
        </is>
      </c>
    </row>
    <row r="54">
      <c r="A54" s="13" t="inlineStr">
        <is>
          <t>MHC-05</t>
        </is>
      </c>
      <c r="B54" s="13" t="inlineStr">
        <is>
          <t>Pinon Pines</t>
        </is>
      </c>
      <c r="C54" s="13" t="inlineStr">
        <is>
          <t>MHC</t>
        </is>
      </c>
      <c r="D54" s="14" t="n">
        <v>45413</v>
      </c>
      <c r="E54" s="19" t="n">
        <v>50362.18</v>
      </c>
      <c r="F54" s="19" t="n">
        <v>46215.78</v>
      </c>
      <c r="G54" s="19" t="n">
        <v>4146.4</v>
      </c>
      <c r="H54" s="15" t="n">
        <v>0.0823</v>
      </c>
      <c r="I54" s="20" t="inlineStr">
        <is>
          <t>At Risk</t>
        </is>
      </c>
    </row>
    <row r="55">
      <c r="A55" s="13" t="inlineStr">
        <is>
          <t>MHC-05</t>
        </is>
      </c>
      <c r="B55" s="13" t="inlineStr">
        <is>
          <t>Pinon Pines</t>
        </is>
      </c>
      <c r="C55" s="13" t="inlineStr">
        <is>
          <t>MHC</t>
        </is>
      </c>
      <c r="D55" s="14" t="n">
        <v>45444</v>
      </c>
      <c r="E55" s="19" t="n">
        <v>51723.32</v>
      </c>
      <c r="F55" s="19" t="n">
        <v>47396.25</v>
      </c>
      <c r="G55" s="19" t="n">
        <v>4327.07</v>
      </c>
      <c r="H55" s="15" t="n">
        <v>0.0837</v>
      </c>
      <c r="I55" s="20" t="inlineStr">
        <is>
          <t>At Risk</t>
        </is>
      </c>
    </row>
    <row r="56">
      <c r="A56" s="13" t="inlineStr">
        <is>
          <t>MHC-05</t>
        </is>
      </c>
      <c r="B56" s="13" t="inlineStr">
        <is>
          <t>Pinon Pines</t>
        </is>
      </c>
      <c r="C56" s="13" t="inlineStr">
        <is>
          <t>MHC</t>
        </is>
      </c>
      <c r="D56" s="14" t="n">
        <v>45474</v>
      </c>
      <c r="E56" s="19" t="n">
        <v>50362.18</v>
      </c>
      <c r="F56" s="19" t="n">
        <v>46274.22</v>
      </c>
      <c r="G56" s="19" t="n">
        <v>4087.96</v>
      </c>
      <c r="H56" s="15" t="n">
        <v>0.08119999999999999</v>
      </c>
      <c r="I56" s="20" t="inlineStr">
        <is>
          <t>At Risk</t>
        </is>
      </c>
    </row>
    <row r="57">
      <c r="A57" s="13" t="inlineStr">
        <is>
          <t>MHC-05</t>
        </is>
      </c>
      <c r="B57" s="13" t="inlineStr">
        <is>
          <t>Pinon Pines</t>
        </is>
      </c>
      <c r="C57" s="13" t="inlineStr">
        <is>
          <t>MHC</t>
        </is>
      </c>
      <c r="D57" s="14" t="n">
        <v>45505</v>
      </c>
      <c r="E57" s="19" t="n">
        <v>50362.18</v>
      </c>
      <c r="F57" s="19" t="n">
        <v>46177.95</v>
      </c>
      <c r="G57" s="19" t="n">
        <v>4184.23</v>
      </c>
      <c r="H57" s="15" t="n">
        <v>0.08309999999999999</v>
      </c>
      <c r="I57" s="20" t="inlineStr">
        <is>
          <t>At Risk</t>
        </is>
      </c>
    </row>
    <row r="58">
      <c r="A58" s="13" t="inlineStr">
        <is>
          <t>MHC-05</t>
        </is>
      </c>
      <c r="B58" s="13" t="inlineStr">
        <is>
          <t>Pinon Pines</t>
        </is>
      </c>
      <c r="C58" s="13" t="inlineStr">
        <is>
          <t>MHC</t>
        </is>
      </c>
      <c r="D58" s="14" t="n">
        <v>45536</v>
      </c>
      <c r="E58" s="19" t="n">
        <v>50362.18</v>
      </c>
      <c r="F58" s="19" t="n">
        <v>46804.82</v>
      </c>
      <c r="G58" s="19" t="n">
        <v>3557.36</v>
      </c>
      <c r="H58" s="15" t="n">
        <v>0.0706</v>
      </c>
      <c r="I58" s="17" t="inlineStr">
        <is>
          <t>Monitor</t>
        </is>
      </c>
    </row>
    <row r="59">
      <c r="A59" s="13" t="inlineStr">
        <is>
          <t>MHC-05</t>
        </is>
      </c>
      <c r="B59" s="13" t="inlineStr">
        <is>
          <t>Pinon Pines</t>
        </is>
      </c>
      <c r="C59" s="13" t="inlineStr">
        <is>
          <t>MHC</t>
        </is>
      </c>
      <c r="D59" s="14" t="n">
        <v>45566</v>
      </c>
      <c r="E59" s="19" t="n">
        <v>51723.32</v>
      </c>
      <c r="F59" s="19" t="n">
        <v>47975.04</v>
      </c>
      <c r="G59" s="19" t="n">
        <v>3748.28</v>
      </c>
      <c r="H59" s="15" t="n">
        <v>0.0725</v>
      </c>
      <c r="I59" s="17" t="inlineStr">
        <is>
          <t>Monitor</t>
        </is>
      </c>
    </row>
    <row r="60">
      <c r="A60" s="13" t="inlineStr">
        <is>
          <t>MHC-05</t>
        </is>
      </c>
      <c r="B60" s="13" t="inlineStr">
        <is>
          <t>Pinon Pines</t>
        </is>
      </c>
      <c r="C60" s="13" t="inlineStr">
        <is>
          <t>MHC</t>
        </is>
      </c>
      <c r="D60" s="14" t="n">
        <v>45597</v>
      </c>
      <c r="E60" s="19" t="n">
        <v>53084.46</v>
      </c>
      <c r="F60" s="19" t="n">
        <v>49374.4</v>
      </c>
      <c r="G60" s="19" t="n">
        <v>3710.06</v>
      </c>
      <c r="H60" s="15" t="n">
        <v>0.0699</v>
      </c>
      <c r="I60" s="17" t="inlineStr">
        <is>
          <t>Monitor</t>
        </is>
      </c>
    </row>
    <row r="61">
      <c r="A61" s="13" t="inlineStr">
        <is>
          <t>MHC-05</t>
        </is>
      </c>
      <c r="B61" s="13" t="inlineStr">
        <is>
          <t>Pinon Pines</t>
        </is>
      </c>
      <c r="C61" s="13" t="inlineStr">
        <is>
          <t>MHC</t>
        </is>
      </c>
      <c r="D61" s="14" t="n">
        <v>45627</v>
      </c>
      <c r="E61" s="19" t="n">
        <v>51723.32</v>
      </c>
      <c r="F61" s="19" t="n">
        <v>47878.2</v>
      </c>
      <c r="G61" s="19" t="n">
        <v>3845.12</v>
      </c>
      <c r="H61" s="15" t="n">
        <v>0.0743</v>
      </c>
      <c r="I61" s="17" t="inlineStr">
        <is>
          <t>Monitor</t>
        </is>
      </c>
    </row>
    <row r="62">
      <c r="A62" s="13" t="inlineStr">
        <is>
          <t>MHC-06</t>
        </is>
      </c>
      <c r="B62" s="13" t="inlineStr">
        <is>
          <t>Red Rock Commons</t>
        </is>
      </c>
      <c r="C62" s="13" t="inlineStr">
        <is>
          <t>MHC</t>
        </is>
      </c>
      <c r="D62" s="14" t="n">
        <v>45292</v>
      </c>
      <c r="E62" s="19" t="n">
        <v>73830</v>
      </c>
      <c r="F62" s="19" t="n">
        <v>70361.17999999999</v>
      </c>
      <c r="G62" s="19" t="n">
        <v>3468.82</v>
      </c>
      <c r="H62" s="15" t="n">
        <v>0.047</v>
      </c>
      <c r="I62" s="18" t="inlineStr">
        <is>
          <t>Acceptable</t>
        </is>
      </c>
    </row>
    <row r="63">
      <c r="A63" s="13" t="inlineStr">
        <is>
          <t>MHC-06</t>
        </is>
      </c>
      <c r="B63" s="13" t="inlineStr">
        <is>
          <t>Red Rock Commons</t>
        </is>
      </c>
      <c r="C63" s="13" t="inlineStr">
        <is>
          <t>MHC</t>
        </is>
      </c>
      <c r="D63" s="14" t="n">
        <v>45323</v>
      </c>
      <c r="E63" s="19" t="n">
        <v>73027.5</v>
      </c>
      <c r="F63" s="19" t="n">
        <v>69581.22</v>
      </c>
      <c r="G63" s="19" t="n">
        <v>3446.28</v>
      </c>
      <c r="H63" s="15" t="n">
        <v>0.0472</v>
      </c>
      <c r="I63" s="18" t="inlineStr">
        <is>
          <t>Acceptable</t>
        </is>
      </c>
    </row>
    <row r="64">
      <c r="A64" s="13" t="inlineStr">
        <is>
          <t>MHC-06</t>
        </is>
      </c>
      <c r="B64" s="13" t="inlineStr">
        <is>
          <t>Red Rock Commons</t>
        </is>
      </c>
      <c r="C64" s="13" t="inlineStr">
        <is>
          <t>MHC</t>
        </is>
      </c>
      <c r="D64" s="14" t="n">
        <v>45352</v>
      </c>
      <c r="E64" s="19" t="n">
        <v>75435</v>
      </c>
      <c r="F64" s="19" t="n">
        <v>71572.61</v>
      </c>
      <c r="G64" s="19" t="n">
        <v>3862.39</v>
      </c>
      <c r="H64" s="15" t="n">
        <v>0.0512</v>
      </c>
      <c r="I64" s="17" t="inlineStr">
        <is>
          <t>Monitor</t>
        </is>
      </c>
    </row>
    <row r="65">
      <c r="A65" s="13" t="inlineStr">
        <is>
          <t>MHC-06</t>
        </is>
      </c>
      <c r="B65" s="13" t="inlineStr">
        <is>
          <t>Red Rock Commons</t>
        </is>
      </c>
      <c r="C65" s="13" t="inlineStr">
        <is>
          <t>MHC</t>
        </is>
      </c>
      <c r="D65" s="14" t="n">
        <v>45383</v>
      </c>
      <c r="E65" s="19" t="n">
        <v>74632.5</v>
      </c>
      <c r="F65" s="19" t="n">
        <v>70767.28999999999</v>
      </c>
      <c r="G65" s="19" t="n">
        <v>3865.21</v>
      </c>
      <c r="H65" s="15" t="n">
        <v>0.0518</v>
      </c>
      <c r="I65" s="17" t="inlineStr">
        <is>
          <t>Monitor</t>
        </is>
      </c>
    </row>
    <row r="66">
      <c r="A66" s="13" t="inlineStr">
        <is>
          <t>MHC-06</t>
        </is>
      </c>
      <c r="B66" s="13" t="inlineStr">
        <is>
          <t>Red Rock Commons</t>
        </is>
      </c>
      <c r="C66" s="13" t="inlineStr">
        <is>
          <t>MHC</t>
        </is>
      </c>
      <c r="D66" s="14" t="n">
        <v>45413</v>
      </c>
      <c r="E66" s="19" t="n">
        <v>76237.5</v>
      </c>
      <c r="F66" s="19" t="n">
        <v>72351</v>
      </c>
      <c r="G66" s="19" t="n">
        <v>3886.5</v>
      </c>
      <c r="H66" s="15" t="n">
        <v>0.051</v>
      </c>
      <c r="I66" s="17" t="inlineStr">
        <is>
          <t>Monitor</t>
        </is>
      </c>
    </row>
    <row r="67">
      <c r="A67" s="13" t="inlineStr">
        <is>
          <t>MHC-06</t>
        </is>
      </c>
      <c r="B67" s="13" t="inlineStr">
        <is>
          <t>Red Rock Commons</t>
        </is>
      </c>
      <c r="C67" s="13" t="inlineStr">
        <is>
          <t>MHC</t>
        </is>
      </c>
      <c r="D67" s="14" t="n">
        <v>45444</v>
      </c>
      <c r="E67" s="19" t="n">
        <v>75435</v>
      </c>
      <c r="F67" s="19" t="n">
        <v>71546.84</v>
      </c>
      <c r="G67" s="19" t="n">
        <v>3888.16</v>
      </c>
      <c r="H67" s="15" t="n">
        <v>0.0515</v>
      </c>
      <c r="I67" s="17" t="inlineStr">
        <is>
          <t>Monitor</t>
        </is>
      </c>
    </row>
    <row r="68">
      <c r="A68" s="13" t="inlineStr">
        <is>
          <t>MHC-06</t>
        </is>
      </c>
      <c r="B68" s="13" t="inlineStr">
        <is>
          <t>Red Rock Commons</t>
        </is>
      </c>
      <c r="C68" s="13" t="inlineStr">
        <is>
          <t>MHC</t>
        </is>
      </c>
      <c r="D68" s="14" t="n">
        <v>45474</v>
      </c>
      <c r="E68" s="19" t="n">
        <v>74632.5</v>
      </c>
      <c r="F68" s="19" t="n">
        <v>70114.72</v>
      </c>
      <c r="G68" s="19" t="n">
        <v>4517.78</v>
      </c>
      <c r="H68" s="15" t="n">
        <v>0.0605</v>
      </c>
      <c r="I68" s="17" t="inlineStr">
        <is>
          <t>Monitor</t>
        </is>
      </c>
    </row>
    <row r="69">
      <c r="A69" s="13" t="inlineStr">
        <is>
          <t>MHC-06</t>
        </is>
      </c>
      <c r="B69" s="13" t="inlineStr">
        <is>
          <t>Red Rock Commons</t>
        </is>
      </c>
      <c r="C69" s="13" t="inlineStr">
        <is>
          <t>MHC</t>
        </is>
      </c>
      <c r="D69" s="14" t="n">
        <v>45505</v>
      </c>
      <c r="E69" s="19" t="n">
        <v>75435</v>
      </c>
      <c r="F69" s="19" t="n">
        <v>71234.69</v>
      </c>
      <c r="G69" s="19" t="n">
        <v>4200.31</v>
      </c>
      <c r="H69" s="15" t="n">
        <v>0.0557</v>
      </c>
      <c r="I69" s="17" t="inlineStr">
        <is>
          <t>Monitor</t>
        </is>
      </c>
    </row>
    <row r="70">
      <c r="A70" s="13" t="inlineStr">
        <is>
          <t>MHC-06</t>
        </is>
      </c>
      <c r="B70" s="13" t="inlineStr">
        <is>
          <t>Red Rock Commons</t>
        </is>
      </c>
      <c r="C70" s="13" t="inlineStr">
        <is>
          <t>MHC</t>
        </is>
      </c>
      <c r="D70" s="14" t="n">
        <v>45536</v>
      </c>
      <c r="E70" s="19" t="n">
        <v>75435</v>
      </c>
      <c r="F70" s="19" t="n">
        <v>70787.53</v>
      </c>
      <c r="G70" s="19" t="n">
        <v>4647.47</v>
      </c>
      <c r="H70" s="15" t="n">
        <v>0.0616</v>
      </c>
      <c r="I70" s="17" t="inlineStr">
        <is>
          <t>Monitor</t>
        </is>
      </c>
    </row>
    <row r="71">
      <c r="A71" s="13" t="inlineStr">
        <is>
          <t>MHC-06</t>
        </is>
      </c>
      <c r="B71" s="13" t="inlineStr">
        <is>
          <t>Red Rock Commons</t>
        </is>
      </c>
      <c r="C71" s="13" t="inlineStr">
        <is>
          <t>MHC</t>
        </is>
      </c>
      <c r="D71" s="14" t="n">
        <v>45566</v>
      </c>
      <c r="E71" s="19" t="n">
        <v>74632.5</v>
      </c>
      <c r="F71" s="19" t="n">
        <v>70245.17</v>
      </c>
      <c r="G71" s="19" t="n">
        <v>4387.33</v>
      </c>
      <c r="H71" s="15" t="n">
        <v>0.0588</v>
      </c>
      <c r="I71" s="17" t="inlineStr">
        <is>
          <t>Monitor</t>
        </is>
      </c>
    </row>
    <row r="72">
      <c r="A72" s="13" t="inlineStr">
        <is>
          <t>MHC-06</t>
        </is>
      </c>
      <c r="B72" s="13" t="inlineStr">
        <is>
          <t>Red Rock Commons</t>
        </is>
      </c>
      <c r="C72" s="13" t="inlineStr">
        <is>
          <t>MHC</t>
        </is>
      </c>
      <c r="D72" s="14" t="n">
        <v>45597</v>
      </c>
      <c r="E72" s="19" t="n">
        <v>76237.5</v>
      </c>
      <c r="F72" s="19" t="n">
        <v>72143.7</v>
      </c>
      <c r="G72" s="19" t="n">
        <v>4093.8</v>
      </c>
      <c r="H72" s="15" t="n">
        <v>0.0537</v>
      </c>
      <c r="I72" s="17" t="inlineStr">
        <is>
          <t>Monitor</t>
        </is>
      </c>
    </row>
    <row r="73">
      <c r="A73" s="13" t="inlineStr">
        <is>
          <t>MHC-06</t>
        </is>
      </c>
      <c r="B73" s="13" t="inlineStr">
        <is>
          <t>Red Rock Commons</t>
        </is>
      </c>
      <c r="C73" s="13" t="inlineStr">
        <is>
          <t>MHC</t>
        </is>
      </c>
      <c r="D73" s="14" t="n">
        <v>45627</v>
      </c>
      <c r="E73" s="19" t="n">
        <v>74632.5</v>
      </c>
      <c r="F73" s="19" t="n">
        <v>69707.39999999999</v>
      </c>
      <c r="G73" s="19" t="n">
        <v>4925.1</v>
      </c>
      <c r="H73" s="15" t="n">
        <v>0.066</v>
      </c>
      <c r="I73" s="17" t="inlineStr">
        <is>
          <t>Monitor</t>
        </is>
      </c>
    </row>
    <row r="74">
      <c r="A74" s="13" t="inlineStr">
        <is>
          <t>MHC-07</t>
        </is>
      </c>
      <c r="B74" s="13" t="inlineStr">
        <is>
          <t>Mesa Vista</t>
        </is>
      </c>
      <c r="C74" s="13" t="inlineStr">
        <is>
          <t>MHC</t>
        </is>
      </c>
      <c r="D74" s="14" t="n">
        <v>45292</v>
      </c>
      <c r="E74" s="19" t="n">
        <v>82608.92</v>
      </c>
      <c r="F74" s="19" t="n">
        <v>78145.37</v>
      </c>
      <c r="G74" s="19" t="n">
        <v>4463.55</v>
      </c>
      <c r="H74" s="15" t="n">
        <v>0.054</v>
      </c>
      <c r="I74" s="17" t="inlineStr">
        <is>
          <t>Monitor</t>
        </is>
      </c>
    </row>
    <row r="75">
      <c r="A75" s="13" t="inlineStr">
        <is>
          <t>MHC-07</t>
        </is>
      </c>
      <c r="B75" s="13" t="inlineStr">
        <is>
          <t>Mesa Vista</t>
        </is>
      </c>
      <c r="C75" s="13" t="inlineStr">
        <is>
          <t>MHC</t>
        </is>
      </c>
      <c r="D75" s="14" t="n">
        <v>45323</v>
      </c>
      <c r="E75" s="19" t="n">
        <v>80335.28</v>
      </c>
      <c r="F75" s="19" t="n">
        <v>75428.2</v>
      </c>
      <c r="G75" s="19" t="n">
        <v>4907.08</v>
      </c>
      <c r="H75" s="15" t="n">
        <v>0.0611</v>
      </c>
      <c r="I75" s="17" t="inlineStr">
        <is>
          <t>Monitor</t>
        </is>
      </c>
    </row>
    <row r="76">
      <c r="A76" s="13" t="inlineStr">
        <is>
          <t>MHC-07</t>
        </is>
      </c>
      <c r="B76" s="13" t="inlineStr">
        <is>
          <t>Mesa Vista</t>
        </is>
      </c>
      <c r="C76" s="13" t="inlineStr">
        <is>
          <t>MHC</t>
        </is>
      </c>
      <c r="D76" s="14" t="n">
        <v>45352</v>
      </c>
      <c r="E76" s="19" t="n">
        <v>82608.92</v>
      </c>
      <c r="F76" s="19" t="n">
        <v>77154.63</v>
      </c>
      <c r="G76" s="19" t="n">
        <v>5454.29</v>
      </c>
      <c r="H76" s="15" t="n">
        <v>0.066</v>
      </c>
      <c r="I76" s="17" t="inlineStr">
        <is>
          <t>Monitor</t>
        </is>
      </c>
    </row>
    <row r="77">
      <c r="A77" s="13" t="inlineStr">
        <is>
          <t>MHC-07</t>
        </is>
      </c>
      <c r="B77" s="13" t="inlineStr">
        <is>
          <t>Mesa Vista</t>
        </is>
      </c>
      <c r="C77" s="13" t="inlineStr">
        <is>
          <t>MHC</t>
        </is>
      </c>
      <c r="D77" s="14" t="n">
        <v>45383</v>
      </c>
      <c r="E77" s="19" t="n">
        <v>81093.16</v>
      </c>
      <c r="F77" s="19" t="n">
        <v>75372.2</v>
      </c>
      <c r="G77" s="19" t="n">
        <v>5720.96</v>
      </c>
      <c r="H77" s="15" t="n">
        <v>0.07049999999999999</v>
      </c>
      <c r="I77" s="17" t="inlineStr">
        <is>
          <t>Monitor</t>
        </is>
      </c>
    </row>
    <row r="78">
      <c r="A78" s="13" t="inlineStr">
        <is>
          <t>MHC-07</t>
        </is>
      </c>
      <c r="B78" s="13" t="inlineStr">
        <is>
          <t>Mesa Vista</t>
        </is>
      </c>
      <c r="C78" s="13" t="inlineStr">
        <is>
          <t>MHC</t>
        </is>
      </c>
      <c r="D78" s="14" t="n">
        <v>45413</v>
      </c>
      <c r="E78" s="19" t="n">
        <v>81093.16</v>
      </c>
      <c r="F78" s="19" t="n">
        <v>75593.92</v>
      </c>
      <c r="G78" s="19" t="n">
        <v>5499.24</v>
      </c>
      <c r="H78" s="15" t="n">
        <v>0.0678</v>
      </c>
      <c r="I78" s="17" t="inlineStr">
        <is>
          <t>Monitor</t>
        </is>
      </c>
    </row>
    <row r="79">
      <c r="A79" s="13" t="inlineStr">
        <is>
          <t>MHC-07</t>
        </is>
      </c>
      <c r="B79" s="13" t="inlineStr">
        <is>
          <t>Mesa Vista</t>
        </is>
      </c>
      <c r="C79" s="13" t="inlineStr">
        <is>
          <t>MHC</t>
        </is>
      </c>
      <c r="D79" s="14" t="n">
        <v>45444</v>
      </c>
      <c r="E79" s="19" t="n">
        <v>82608.92</v>
      </c>
      <c r="F79" s="19" t="n">
        <v>76239.74000000001</v>
      </c>
      <c r="G79" s="19" t="n">
        <v>6369.18</v>
      </c>
      <c r="H79" s="15" t="n">
        <v>0.0771</v>
      </c>
      <c r="I79" s="17" t="inlineStr">
        <is>
          <t>Monitor</t>
        </is>
      </c>
    </row>
    <row r="80">
      <c r="A80" s="13" t="inlineStr">
        <is>
          <t>MHC-07</t>
        </is>
      </c>
      <c r="B80" s="13" t="inlineStr">
        <is>
          <t>Mesa Vista</t>
        </is>
      </c>
      <c r="C80" s="13" t="inlineStr">
        <is>
          <t>MHC</t>
        </is>
      </c>
      <c r="D80" s="14" t="n">
        <v>45474</v>
      </c>
      <c r="E80" s="19" t="n">
        <v>82608.92</v>
      </c>
      <c r="F80" s="19" t="n">
        <v>76058.67</v>
      </c>
      <c r="G80" s="19" t="n">
        <v>6550.25</v>
      </c>
      <c r="H80" s="15" t="n">
        <v>0.0793</v>
      </c>
      <c r="I80" s="17" t="inlineStr">
        <is>
          <t>Monitor</t>
        </is>
      </c>
    </row>
    <row r="81">
      <c r="A81" s="13" t="inlineStr">
        <is>
          <t>MHC-07</t>
        </is>
      </c>
      <c r="B81" s="13" t="inlineStr">
        <is>
          <t>Mesa Vista</t>
        </is>
      </c>
      <c r="C81" s="13" t="inlineStr">
        <is>
          <t>MHC</t>
        </is>
      </c>
      <c r="D81" s="14" t="n">
        <v>45505</v>
      </c>
      <c r="E81" s="19" t="n">
        <v>81851.03999999999</v>
      </c>
      <c r="F81" s="19" t="n">
        <v>74730.47</v>
      </c>
      <c r="G81" s="19" t="n">
        <v>7120.57</v>
      </c>
      <c r="H81" s="15" t="n">
        <v>0.08699999999999999</v>
      </c>
      <c r="I81" s="20" t="inlineStr">
        <is>
          <t>At Risk</t>
        </is>
      </c>
    </row>
    <row r="82">
      <c r="A82" s="13" t="inlineStr">
        <is>
          <t>MHC-07</t>
        </is>
      </c>
      <c r="B82" s="13" t="inlineStr">
        <is>
          <t>Mesa Vista</t>
        </is>
      </c>
      <c r="C82" s="13" t="inlineStr">
        <is>
          <t>MHC</t>
        </is>
      </c>
      <c r="D82" s="14" t="n">
        <v>45536</v>
      </c>
      <c r="E82" s="19" t="n">
        <v>84124.67999999999</v>
      </c>
      <c r="F82" s="19" t="n">
        <v>76693.11</v>
      </c>
      <c r="G82" s="19" t="n">
        <v>7431.57</v>
      </c>
      <c r="H82" s="15" t="n">
        <v>0.0883</v>
      </c>
      <c r="I82" s="20" t="inlineStr">
        <is>
          <t>At Risk</t>
        </is>
      </c>
    </row>
    <row r="83">
      <c r="A83" s="13" t="inlineStr">
        <is>
          <t>MHC-07</t>
        </is>
      </c>
      <c r="B83" s="13" t="inlineStr">
        <is>
          <t>Mesa Vista</t>
        </is>
      </c>
      <c r="C83" s="13" t="inlineStr">
        <is>
          <t>MHC</t>
        </is>
      </c>
      <c r="D83" s="14" t="n">
        <v>45566</v>
      </c>
      <c r="E83" s="19" t="n">
        <v>81851.03999999999</v>
      </c>
      <c r="F83" s="19" t="n">
        <v>73859.22</v>
      </c>
      <c r="G83" s="19" t="n">
        <v>7991.82</v>
      </c>
      <c r="H83" s="15" t="n">
        <v>0.09760000000000001</v>
      </c>
      <c r="I83" s="20" t="inlineStr">
        <is>
          <t>At Risk</t>
        </is>
      </c>
    </row>
    <row r="84">
      <c r="A84" s="13" t="inlineStr">
        <is>
          <t>MHC-07</t>
        </is>
      </c>
      <c r="B84" s="13" t="inlineStr">
        <is>
          <t>Mesa Vista</t>
        </is>
      </c>
      <c r="C84" s="13" t="inlineStr">
        <is>
          <t>MHC</t>
        </is>
      </c>
      <c r="D84" s="14" t="n">
        <v>45597</v>
      </c>
      <c r="E84" s="19" t="n">
        <v>82608.92</v>
      </c>
      <c r="F84" s="19" t="n">
        <v>73491.44</v>
      </c>
      <c r="G84" s="19" t="n">
        <v>9117.48</v>
      </c>
      <c r="H84" s="15" t="n">
        <v>0.1104</v>
      </c>
      <c r="I84" s="20" t="inlineStr">
        <is>
          <t>At Risk</t>
        </is>
      </c>
    </row>
    <row r="85">
      <c r="A85" s="13" t="inlineStr">
        <is>
          <t>MHC-07</t>
        </is>
      </c>
      <c r="B85" s="13" t="inlineStr">
        <is>
          <t>Mesa Vista</t>
        </is>
      </c>
      <c r="C85" s="13" t="inlineStr">
        <is>
          <t>MHC</t>
        </is>
      </c>
      <c r="D85" s="14" t="n">
        <v>45627</v>
      </c>
      <c r="E85" s="19" t="n">
        <v>81093.16</v>
      </c>
      <c r="F85" s="19" t="n">
        <v>72401.39999999999</v>
      </c>
      <c r="G85" s="19" t="n">
        <v>8691.76</v>
      </c>
      <c r="H85" s="15" t="n">
        <v>0.1072</v>
      </c>
      <c r="I85" s="20" t="inlineStr">
        <is>
          <t>At Risk</t>
        </is>
      </c>
    </row>
    <row r="86">
      <c r="A86" s="13" t="inlineStr">
        <is>
          <t>STG-01</t>
        </is>
      </c>
      <c r="B86" s="13" t="inlineStr">
        <is>
          <t>ClearBox Storage</t>
        </is>
      </c>
      <c r="C86" s="13" t="inlineStr">
        <is>
          <t>Self-Storage</t>
        </is>
      </c>
      <c r="D86" s="14" t="n">
        <v>45292</v>
      </c>
      <c r="E86" s="19" t="n">
        <v>36703</v>
      </c>
      <c r="F86" s="19" t="n">
        <v>35476.8</v>
      </c>
      <c r="G86" s="19" t="n">
        <v>1226.2</v>
      </c>
      <c r="H86" s="15" t="n">
        <v>0.0334</v>
      </c>
      <c r="I86" s="18" t="inlineStr">
        <is>
          <t>Acceptable</t>
        </is>
      </c>
    </row>
    <row r="87">
      <c r="A87" s="13" t="inlineStr">
        <is>
          <t>STG-01</t>
        </is>
      </c>
      <c r="B87" s="13" t="inlineStr">
        <is>
          <t>ClearBox Storage</t>
        </is>
      </c>
      <c r="C87" s="13" t="inlineStr">
        <is>
          <t>Self-Storage</t>
        </is>
      </c>
      <c r="D87" s="14" t="n">
        <v>45323</v>
      </c>
      <c r="E87" s="19" t="n">
        <v>36703</v>
      </c>
      <c r="F87" s="19" t="n">
        <v>35588.36</v>
      </c>
      <c r="G87" s="19" t="n">
        <v>1114.64</v>
      </c>
      <c r="H87" s="15" t="n">
        <v>0.0304</v>
      </c>
      <c r="I87" s="18" t="inlineStr">
        <is>
          <t>Acceptable</t>
        </is>
      </c>
    </row>
    <row r="88">
      <c r="A88" s="13" t="inlineStr">
        <is>
          <t>STG-01</t>
        </is>
      </c>
      <c r="B88" s="13" t="inlineStr">
        <is>
          <t>ClearBox Storage</t>
        </is>
      </c>
      <c r="C88" s="13" t="inlineStr">
        <is>
          <t>Self-Storage</t>
        </is>
      </c>
      <c r="D88" s="14" t="n">
        <v>45352</v>
      </c>
      <c r="E88" s="19" t="n">
        <v>36992</v>
      </c>
      <c r="F88" s="19" t="n">
        <v>35849.16</v>
      </c>
      <c r="G88" s="19" t="n">
        <v>1142.84</v>
      </c>
      <c r="H88" s="15" t="n">
        <v>0.0309</v>
      </c>
      <c r="I88" s="18" t="inlineStr">
        <is>
          <t>Acceptable</t>
        </is>
      </c>
    </row>
    <row r="89">
      <c r="A89" s="13" t="inlineStr">
        <is>
          <t>STG-01</t>
        </is>
      </c>
      <c r="B89" s="13" t="inlineStr">
        <is>
          <t>ClearBox Storage</t>
        </is>
      </c>
      <c r="C89" s="13" t="inlineStr">
        <is>
          <t>Self-Storage</t>
        </is>
      </c>
      <c r="D89" s="14" t="n">
        <v>45383</v>
      </c>
      <c r="E89" s="19" t="n">
        <v>37281</v>
      </c>
      <c r="F89" s="19" t="n">
        <v>35856.3</v>
      </c>
      <c r="G89" s="19" t="n">
        <v>1424.7</v>
      </c>
      <c r="H89" s="15" t="n">
        <v>0.0382</v>
      </c>
      <c r="I89" s="18" t="inlineStr">
        <is>
          <t>Acceptable</t>
        </is>
      </c>
    </row>
    <row r="90">
      <c r="A90" s="13" t="inlineStr">
        <is>
          <t>STG-01</t>
        </is>
      </c>
      <c r="B90" s="13" t="inlineStr">
        <is>
          <t>ClearBox Storage</t>
        </is>
      </c>
      <c r="C90" s="13" t="inlineStr">
        <is>
          <t>Self-Storage</t>
        </is>
      </c>
      <c r="D90" s="14" t="n">
        <v>45413</v>
      </c>
      <c r="E90" s="19" t="n">
        <v>37281</v>
      </c>
      <c r="F90" s="19" t="n">
        <v>35805.36</v>
      </c>
      <c r="G90" s="19" t="n">
        <v>1475.64</v>
      </c>
      <c r="H90" s="15" t="n">
        <v>0.0396</v>
      </c>
      <c r="I90" s="18" t="inlineStr">
        <is>
          <t>Acceptable</t>
        </is>
      </c>
    </row>
    <row r="91">
      <c r="A91" s="13" t="inlineStr">
        <is>
          <t>STG-01</t>
        </is>
      </c>
      <c r="B91" s="13" t="inlineStr">
        <is>
          <t>ClearBox Storage</t>
        </is>
      </c>
      <c r="C91" s="13" t="inlineStr">
        <is>
          <t>Self-Storage</t>
        </is>
      </c>
      <c r="D91" s="14" t="n">
        <v>45444</v>
      </c>
      <c r="E91" s="19" t="n">
        <v>37136.5</v>
      </c>
      <c r="F91" s="19" t="n">
        <v>35828.75</v>
      </c>
      <c r="G91" s="19" t="n">
        <v>1307.75</v>
      </c>
      <c r="H91" s="15" t="n">
        <v>0.0352</v>
      </c>
      <c r="I91" s="18" t="inlineStr">
        <is>
          <t>Acceptable</t>
        </is>
      </c>
    </row>
    <row r="92">
      <c r="A92" s="13" t="inlineStr">
        <is>
          <t>STG-01</t>
        </is>
      </c>
      <c r="B92" s="13" t="inlineStr">
        <is>
          <t>ClearBox Storage</t>
        </is>
      </c>
      <c r="C92" s="13" t="inlineStr">
        <is>
          <t>Self-Storage</t>
        </is>
      </c>
      <c r="D92" s="14" t="n">
        <v>45474</v>
      </c>
      <c r="E92" s="19" t="n">
        <v>37281</v>
      </c>
      <c r="F92" s="19" t="n">
        <v>35861.51</v>
      </c>
      <c r="G92" s="19" t="n">
        <v>1419.49</v>
      </c>
      <c r="H92" s="15" t="n">
        <v>0.0381</v>
      </c>
      <c r="I92" s="18" t="inlineStr">
        <is>
          <t>Acceptable</t>
        </is>
      </c>
    </row>
    <row r="93">
      <c r="A93" s="13" t="inlineStr">
        <is>
          <t>STG-01</t>
        </is>
      </c>
      <c r="B93" s="13" t="inlineStr">
        <is>
          <t>ClearBox Storage</t>
        </is>
      </c>
      <c r="C93" s="13" t="inlineStr">
        <is>
          <t>Self-Storage</t>
        </is>
      </c>
      <c r="D93" s="14" t="n">
        <v>45505</v>
      </c>
      <c r="E93" s="19" t="n">
        <v>37859</v>
      </c>
      <c r="F93" s="19" t="n">
        <v>36639.14</v>
      </c>
      <c r="G93" s="19" t="n">
        <v>1219.86</v>
      </c>
      <c r="H93" s="15" t="n">
        <v>0.0322</v>
      </c>
      <c r="I93" s="18" t="inlineStr">
        <is>
          <t>Acceptable</t>
        </is>
      </c>
    </row>
    <row r="94">
      <c r="A94" s="13" t="inlineStr">
        <is>
          <t>STG-01</t>
        </is>
      </c>
      <c r="B94" s="13" t="inlineStr">
        <is>
          <t>ClearBox Storage</t>
        </is>
      </c>
      <c r="C94" s="13" t="inlineStr">
        <is>
          <t>Self-Storage</t>
        </is>
      </c>
      <c r="D94" s="14" t="n">
        <v>45536</v>
      </c>
      <c r="E94" s="19" t="n">
        <v>37714.5</v>
      </c>
      <c r="F94" s="19" t="n">
        <v>36400.78</v>
      </c>
      <c r="G94" s="19" t="n">
        <v>1313.72</v>
      </c>
      <c r="H94" s="15" t="n">
        <v>0.0348</v>
      </c>
      <c r="I94" s="18" t="inlineStr">
        <is>
          <t>Acceptable</t>
        </is>
      </c>
    </row>
    <row r="95">
      <c r="A95" s="13" t="inlineStr">
        <is>
          <t>STG-01</t>
        </is>
      </c>
      <c r="B95" s="13" t="inlineStr">
        <is>
          <t>ClearBox Storage</t>
        </is>
      </c>
      <c r="C95" s="13" t="inlineStr">
        <is>
          <t>Self-Storage</t>
        </is>
      </c>
      <c r="D95" s="14" t="n">
        <v>45566</v>
      </c>
      <c r="E95" s="19" t="n">
        <v>37714.5</v>
      </c>
      <c r="F95" s="19" t="n">
        <v>36062.37</v>
      </c>
      <c r="G95" s="19" t="n">
        <v>1652.13</v>
      </c>
      <c r="H95" s="15" t="n">
        <v>0.0438</v>
      </c>
      <c r="I95" s="18" t="inlineStr">
        <is>
          <t>Acceptable</t>
        </is>
      </c>
    </row>
    <row r="96">
      <c r="A96" s="13" t="inlineStr">
        <is>
          <t>STG-01</t>
        </is>
      </c>
      <c r="B96" s="13" t="inlineStr">
        <is>
          <t>ClearBox Storage</t>
        </is>
      </c>
      <c r="C96" s="13" t="inlineStr">
        <is>
          <t>Self-Storage</t>
        </is>
      </c>
      <c r="D96" s="14" t="n">
        <v>45597</v>
      </c>
      <c r="E96" s="19" t="n">
        <v>38003.5</v>
      </c>
      <c r="F96" s="19" t="n">
        <v>36481.8</v>
      </c>
      <c r="G96" s="19" t="n">
        <v>1521.7</v>
      </c>
      <c r="H96" s="15" t="n">
        <v>0.04</v>
      </c>
      <c r="I96" s="18" t="inlineStr">
        <is>
          <t>Acceptable</t>
        </is>
      </c>
    </row>
    <row r="97">
      <c r="A97" s="13" t="inlineStr">
        <is>
          <t>STG-01</t>
        </is>
      </c>
      <c r="B97" s="13" t="inlineStr">
        <is>
          <t>ClearBox Storage</t>
        </is>
      </c>
      <c r="C97" s="13" t="inlineStr">
        <is>
          <t>Self-Storage</t>
        </is>
      </c>
      <c r="D97" s="14" t="n">
        <v>45627</v>
      </c>
      <c r="E97" s="19" t="n">
        <v>38148</v>
      </c>
      <c r="F97" s="19" t="n">
        <v>36602.76</v>
      </c>
      <c r="G97" s="19" t="n">
        <v>1545.24</v>
      </c>
      <c r="H97" s="15" t="n">
        <v>0.0405</v>
      </c>
      <c r="I97" s="18" t="inlineStr">
        <is>
          <t>Acceptable</t>
        </is>
      </c>
    </row>
    <row r="98">
      <c r="A98" s="13" t="inlineStr">
        <is>
          <t>STG-02</t>
        </is>
      </c>
      <c r="B98" s="13" t="inlineStr">
        <is>
          <t>SunState Storage</t>
        </is>
      </c>
      <c r="C98" s="13" t="inlineStr">
        <is>
          <t>Self-Storage</t>
        </is>
      </c>
      <c r="D98" s="14" t="n">
        <v>45292</v>
      </c>
      <c r="E98" s="19" t="n">
        <v>36356.32</v>
      </c>
      <c r="F98" s="19" t="n">
        <v>33703.19</v>
      </c>
      <c r="G98" s="19" t="n">
        <v>2653.13</v>
      </c>
      <c r="H98" s="15" t="n">
        <v>0.073</v>
      </c>
      <c r="I98" s="17" t="inlineStr">
        <is>
          <t>Monitor</t>
        </is>
      </c>
    </row>
    <row r="99">
      <c r="A99" s="13" t="inlineStr">
        <is>
          <t>STG-02</t>
        </is>
      </c>
      <c r="B99" s="13" t="inlineStr">
        <is>
          <t>SunState Storage</t>
        </is>
      </c>
      <c r="C99" s="13" t="inlineStr">
        <is>
          <t>Self-Storage</t>
        </is>
      </c>
      <c r="D99" s="14" t="n">
        <v>45323</v>
      </c>
      <c r="E99" s="19" t="n">
        <v>36229.2</v>
      </c>
      <c r="F99" s="19" t="n">
        <v>33688.06</v>
      </c>
      <c r="G99" s="19" t="n">
        <v>2541.14</v>
      </c>
      <c r="H99" s="15" t="n">
        <v>0.0701</v>
      </c>
      <c r="I99" s="17" t="inlineStr">
        <is>
          <t>Monitor</t>
        </is>
      </c>
    </row>
    <row r="100">
      <c r="A100" s="13" t="inlineStr">
        <is>
          <t>STG-02</t>
        </is>
      </c>
      <c r="B100" s="13" t="inlineStr">
        <is>
          <t>SunState Storage</t>
        </is>
      </c>
      <c r="C100" s="13" t="inlineStr">
        <is>
          <t>Self-Storage</t>
        </is>
      </c>
      <c r="D100" s="14" t="n">
        <v>45352</v>
      </c>
      <c r="E100" s="19" t="n">
        <v>36483.44</v>
      </c>
      <c r="F100" s="19" t="n">
        <v>33494.74</v>
      </c>
      <c r="G100" s="19" t="n">
        <v>2988.7</v>
      </c>
      <c r="H100" s="15" t="n">
        <v>0.0819</v>
      </c>
      <c r="I100" s="20" t="inlineStr">
        <is>
          <t>At Risk</t>
        </is>
      </c>
    </row>
    <row r="101">
      <c r="A101" s="13" t="inlineStr">
        <is>
          <t>STG-02</t>
        </is>
      </c>
      <c r="B101" s="13" t="inlineStr">
        <is>
          <t>SunState Storage</t>
        </is>
      </c>
      <c r="C101" s="13" t="inlineStr">
        <is>
          <t>Self-Storage</t>
        </is>
      </c>
      <c r="D101" s="14" t="n">
        <v>45383</v>
      </c>
      <c r="E101" s="19" t="n">
        <v>36356.32</v>
      </c>
      <c r="F101" s="19" t="n">
        <v>33215.21</v>
      </c>
      <c r="G101" s="19" t="n">
        <v>3141.11</v>
      </c>
      <c r="H101" s="15" t="n">
        <v>0.0864</v>
      </c>
      <c r="I101" s="20" t="inlineStr">
        <is>
          <t>At Risk</t>
        </is>
      </c>
    </row>
    <row r="102">
      <c r="A102" s="13" t="inlineStr">
        <is>
          <t>STG-02</t>
        </is>
      </c>
      <c r="B102" s="13" t="inlineStr">
        <is>
          <t>SunState Storage</t>
        </is>
      </c>
      <c r="C102" s="13" t="inlineStr">
        <is>
          <t>Self-Storage</t>
        </is>
      </c>
      <c r="D102" s="14" t="n">
        <v>45413</v>
      </c>
      <c r="E102" s="19" t="n">
        <v>36483.44</v>
      </c>
      <c r="F102" s="19" t="n">
        <v>32979.18</v>
      </c>
      <c r="G102" s="19" t="n">
        <v>3504.26</v>
      </c>
      <c r="H102" s="15" t="n">
        <v>0.0961</v>
      </c>
      <c r="I102" s="20" t="inlineStr">
        <is>
          <t>At Risk</t>
        </is>
      </c>
    </row>
    <row r="103">
      <c r="A103" s="13" t="inlineStr">
        <is>
          <t>STG-02</t>
        </is>
      </c>
      <c r="B103" s="13" t="inlineStr">
        <is>
          <t>SunState Storage</t>
        </is>
      </c>
      <c r="C103" s="13" t="inlineStr">
        <is>
          <t>Self-Storage</t>
        </is>
      </c>
      <c r="D103" s="14" t="n">
        <v>45444</v>
      </c>
      <c r="E103" s="19" t="n">
        <v>36991.92</v>
      </c>
      <c r="F103" s="19" t="n">
        <v>33545.68</v>
      </c>
      <c r="G103" s="19" t="n">
        <v>3446.24</v>
      </c>
      <c r="H103" s="15" t="n">
        <v>0.09320000000000001</v>
      </c>
      <c r="I103" s="20" t="inlineStr">
        <is>
          <t>At Risk</t>
        </is>
      </c>
    </row>
    <row r="104">
      <c r="A104" s="13" t="inlineStr">
        <is>
          <t>STG-02</t>
        </is>
      </c>
      <c r="B104" s="13" t="inlineStr">
        <is>
          <t>SunState Storage</t>
        </is>
      </c>
      <c r="C104" s="13" t="inlineStr">
        <is>
          <t>Self-Storage</t>
        </is>
      </c>
      <c r="D104" s="14" t="n">
        <v>45474</v>
      </c>
      <c r="E104" s="19" t="n">
        <v>37119.04</v>
      </c>
      <c r="F104" s="19" t="n">
        <v>33100.66</v>
      </c>
      <c r="G104" s="19" t="n">
        <v>4018.38</v>
      </c>
      <c r="H104" s="15" t="n">
        <v>0.1083</v>
      </c>
      <c r="I104" s="20" t="inlineStr">
        <is>
          <t>At Risk</t>
        </is>
      </c>
    </row>
    <row r="105">
      <c r="A105" s="13" t="inlineStr">
        <is>
          <t>STG-02</t>
        </is>
      </c>
      <c r="B105" s="13" t="inlineStr">
        <is>
          <t>SunState Storage</t>
        </is>
      </c>
      <c r="C105" s="13" t="inlineStr">
        <is>
          <t>Self-Storage</t>
        </is>
      </c>
      <c r="D105" s="14" t="n">
        <v>45505</v>
      </c>
      <c r="E105" s="19" t="n">
        <v>36991.92</v>
      </c>
      <c r="F105" s="19" t="n">
        <v>33176.46</v>
      </c>
      <c r="G105" s="19" t="n">
        <v>3815.46</v>
      </c>
      <c r="H105" s="15" t="n">
        <v>0.1031</v>
      </c>
      <c r="I105" s="20" t="inlineStr">
        <is>
          <t>At Risk</t>
        </is>
      </c>
    </row>
    <row r="106">
      <c r="A106" s="13" t="inlineStr">
        <is>
          <t>STG-02</t>
        </is>
      </c>
      <c r="B106" s="13" t="inlineStr">
        <is>
          <t>SunState Storage</t>
        </is>
      </c>
      <c r="C106" s="13" t="inlineStr">
        <is>
          <t>Self-Storage</t>
        </is>
      </c>
      <c r="D106" s="14" t="n">
        <v>45536</v>
      </c>
      <c r="E106" s="19" t="n">
        <v>37373.28</v>
      </c>
      <c r="F106" s="19" t="n">
        <v>33267.22</v>
      </c>
      <c r="G106" s="19" t="n">
        <v>4106.06</v>
      </c>
      <c r="H106" s="15" t="n">
        <v>0.1099</v>
      </c>
      <c r="I106" s="20" t="inlineStr">
        <is>
          <t>At Risk</t>
        </is>
      </c>
    </row>
    <row r="107">
      <c r="A107" s="13" t="inlineStr">
        <is>
          <t>STG-02</t>
        </is>
      </c>
      <c r="B107" s="13" t="inlineStr">
        <is>
          <t>SunState Storage</t>
        </is>
      </c>
      <c r="C107" s="13" t="inlineStr">
        <is>
          <t>Self-Storage</t>
        </is>
      </c>
      <c r="D107" s="14" t="n">
        <v>45566</v>
      </c>
      <c r="E107" s="19" t="n">
        <v>37373.28</v>
      </c>
      <c r="F107" s="19" t="n">
        <v>32879.84</v>
      </c>
      <c r="G107" s="19" t="n">
        <v>4493.44</v>
      </c>
      <c r="H107" s="15" t="n">
        <v>0.1202</v>
      </c>
      <c r="I107" s="16" t="inlineStr">
        <is>
          <t>Critical</t>
        </is>
      </c>
    </row>
    <row r="108">
      <c r="A108" s="13" t="inlineStr">
        <is>
          <t>STG-02</t>
        </is>
      </c>
      <c r="B108" s="13" t="inlineStr">
        <is>
          <t>SunState Storage</t>
        </is>
      </c>
      <c r="C108" s="13" t="inlineStr">
        <is>
          <t>Self-Storage</t>
        </is>
      </c>
      <c r="D108" s="14" t="n">
        <v>45597</v>
      </c>
      <c r="E108" s="19" t="n">
        <v>37627.52</v>
      </c>
      <c r="F108" s="19" t="n">
        <v>32862.07</v>
      </c>
      <c r="G108" s="19" t="n">
        <v>4765.45</v>
      </c>
      <c r="H108" s="15" t="n">
        <v>0.1266</v>
      </c>
      <c r="I108" s="16" t="inlineStr">
        <is>
          <t>Critical</t>
        </is>
      </c>
    </row>
    <row r="109">
      <c r="A109" s="13" t="inlineStr">
        <is>
          <t>STG-02</t>
        </is>
      </c>
      <c r="B109" s="13" t="inlineStr">
        <is>
          <t>SunState Storage</t>
        </is>
      </c>
      <c r="C109" s="13" t="inlineStr">
        <is>
          <t>Self-Storage</t>
        </is>
      </c>
      <c r="D109" s="14" t="n">
        <v>45627</v>
      </c>
      <c r="E109" s="19" t="n">
        <v>37500.4</v>
      </c>
      <c r="F109" s="19" t="n">
        <v>32744.51</v>
      </c>
      <c r="G109" s="19" t="n">
        <v>4755.89</v>
      </c>
      <c r="H109" s="15" t="n">
        <v>0.1268</v>
      </c>
      <c r="I109" s="16" t="inlineStr">
        <is>
          <t>Critical</t>
        </is>
      </c>
    </row>
    <row r="110">
      <c r="A110" s="13" t="inlineStr">
        <is>
          <t>STG-03</t>
        </is>
      </c>
      <c r="B110" s="13" t="inlineStr">
        <is>
          <t>Desert Vault</t>
        </is>
      </c>
      <c r="C110" s="13" t="inlineStr">
        <is>
          <t>Self-Storage</t>
        </is>
      </c>
      <c r="D110" s="14" t="n">
        <v>45292</v>
      </c>
      <c r="E110" s="19" t="n">
        <v>19268.56</v>
      </c>
      <c r="F110" s="19" t="n">
        <v>18393.02</v>
      </c>
      <c r="G110" s="19" t="n">
        <v>875.54</v>
      </c>
      <c r="H110" s="15" t="n">
        <v>0.0454</v>
      </c>
      <c r="I110" s="18" t="inlineStr">
        <is>
          <t>Acceptable</t>
        </is>
      </c>
    </row>
    <row r="111">
      <c r="A111" s="13" t="inlineStr">
        <is>
          <t>STG-03</t>
        </is>
      </c>
      <c r="B111" s="13" t="inlineStr">
        <is>
          <t>Desert Vault</t>
        </is>
      </c>
      <c r="C111" s="13" t="inlineStr">
        <is>
          <t>Self-Storage</t>
        </is>
      </c>
      <c r="D111" s="14" t="n">
        <v>45323</v>
      </c>
      <c r="E111" s="19" t="n">
        <v>19178.52</v>
      </c>
      <c r="F111" s="19" t="n">
        <v>18094.9</v>
      </c>
      <c r="G111" s="19" t="n">
        <v>1083.62</v>
      </c>
      <c r="H111" s="15" t="n">
        <v>0.0565</v>
      </c>
      <c r="I111" s="17" t="inlineStr">
        <is>
          <t>Monitor</t>
        </is>
      </c>
    </row>
    <row r="112">
      <c r="A112" s="13" t="inlineStr">
        <is>
          <t>STG-03</t>
        </is>
      </c>
      <c r="B112" s="13" t="inlineStr">
        <is>
          <t>Desert Vault</t>
        </is>
      </c>
      <c r="C112" s="13" t="inlineStr">
        <is>
          <t>Self-Storage</t>
        </is>
      </c>
      <c r="D112" s="14" t="n">
        <v>45352</v>
      </c>
      <c r="E112" s="19" t="n">
        <v>19178.52</v>
      </c>
      <c r="F112" s="19" t="n">
        <v>18208.26</v>
      </c>
      <c r="G112" s="19" t="n">
        <v>970.26</v>
      </c>
      <c r="H112" s="15" t="n">
        <v>0.0506</v>
      </c>
      <c r="I112" s="17" t="inlineStr">
        <is>
          <t>Monitor</t>
        </is>
      </c>
    </row>
    <row r="113">
      <c r="A113" s="13" t="inlineStr">
        <is>
          <t>STG-03</t>
        </is>
      </c>
      <c r="B113" s="13" t="inlineStr">
        <is>
          <t>Desert Vault</t>
        </is>
      </c>
      <c r="C113" s="13" t="inlineStr">
        <is>
          <t>Self-Storage</t>
        </is>
      </c>
      <c r="D113" s="14" t="n">
        <v>45383</v>
      </c>
      <c r="E113" s="19" t="n">
        <v>19538.68</v>
      </c>
      <c r="F113" s="19" t="n">
        <v>18433.01</v>
      </c>
      <c r="G113" s="19" t="n">
        <v>1105.67</v>
      </c>
      <c r="H113" s="15" t="n">
        <v>0.0566</v>
      </c>
      <c r="I113" s="17" t="inlineStr">
        <is>
          <t>Monitor</t>
        </is>
      </c>
    </row>
    <row r="114">
      <c r="A114" s="13" t="inlineStr">
        <is>
          <t>STG-03</t>
        </is>
      </c>
      <c r="B114" s="13" t="inlineStr">
        <is>
          <t>Desert Vault</t>
        </is>
      </c>
      <c r="C114" s="13" t="inlineStr">
        <is>
          <t>Self-Storage</t>
        </is>
      </c>
      <c r="D114" s="14" t="n">
        <v>45413</v>
      </c>
      <c r="E114" s="19" t="n">
        <v>19448.64</v>
      </c>
      <c r="F114" s="19" t="n">
        <v>18306.9</v>
      </c>
      <c r="G114" s="19" t="n">
        <v>1141.74</v>
      </c>
      <c r="H114" s="15" t="n">
        <v>0.0587</v>
      </c>
      <c r="I114" s="17" t="inlineStr">
        <is>
          <t>Monitor</t>
        </is>
      </c>
    </row>
    <row r="115">
      <c r="A115" s="13" t="inlineStr">
        <is>
          <t>STG-03</t>
        </is>
      </c>
      <c r="B115" s="13" t="inlineStr">
        <is>
          <t>Desert Vault</t>
        </is>
      </c>
      <c r="C115" s="13" t="inlineStr">
        <is>
          <t>Self-Storage</t>
        </is>
      </c>
      <c r="D115" s="14" t="n">
        <v>45444</v>
      </c>
      <c r="E115" s="19" t="n">
        <v>19268.56</v>
      </c>
      <c r="F115" s="19" t="n">
        <v>18148.64</v>
      </c>
      <c r="G115" s="19" t="n">
        <v>1119.92</v>
      </c>
      <c r="H115" s="15" t="n">
        <v>0.0581</v>
      </c>
      <c r="I115" s="17" t="inlineStr">
        <is>
          <t>Monitor</t>
        </is>
      </c>
    </row>
    <row r="116">
      <c r="A116" s="13" t="inlineStr">
        <is>
          <t>STG-03</t>
        </is>
      </c>
      <c r="B116" s="13" t="inlineStr">
        <is>
          <t>Desert Vault</t>
        </is>
      </c>
      <c r="C116" s="13" t="inlineStr">
        <is>
          <t>Self-Storage</t>
        </is>
      </c>
      <c r="D116" s="14" t="n">
        <v>45474</v>
      </c>
      <c r="E116" s="19" t="n">
        <v>19268.56</v>
      </c>
      <c r="F116" s="19" t="n">
        <v>18075.58</v>
      </c>
      <c r="G116" s="19" t="n">
        <v>1192.98</v>
      </c>
      <c r="H116" s="15" t="n">
        <v>0.0619</v>
      </c>
      <c r="I116" s="17" t="inlineStr">
        <is>
          <t>Monitor</t>
        </is>
      </c>
    </row>
    <row r="117">
      <c r="A117" s="13" t="inlineStr">
        <is>
          <t>STG-03</t>
        </is>
      </c>
      <c r="B117" s="13" t="inlineStr">
        <is>
          <t>Desert Vault</t>
        </is>
      </c>
      <c r="C117" s="13" t="inlineStr">
        <is>
          <t>Self-Storage</t>
        </is>
      </c>
      <c r="D117" s="14" t="n">
        <v>45505</v>
      </c>
      <c r="E117" s="19" t="n">
        <v>19358.6</v>
      </c>
      <c r="F117" s="19" t="n">
        <v>18139</v>
      </c>
      <c r="G117" s="19" t="n">
        <v>1219.6</v>
      </c>
      <c r="H117" s="15" t="n">
        <v>0.063</v>
      </c>
      <c r="I117" s="17" t="inlineStr">
        <is>
          <t>Monitor</t>
        </is>
      </c>
    </row>
    <row r="118">
      <c r="A118" s="13" t="inlineStr">
        <is>
          <t>STG-03</t>
        </is>
      </c>
      <c r="B118" s="13" t="inlineStr">
        <is>
          <t>Desert Vault</t>
        </is>
      </c>
      <c r="C118" s="13" t="inlineStr">
        <is>
          <t>Self-Storage</t>
        </is>
      </c>
      <c r="D118" s="14" t="n">
        <v>45536</v>
      </c>
      <c r="E118" s="19" t="n">
        <v>19448.64</v>
      </c>
      <c r="F118" s="19" t="n">
        <v>18091.87</v>
      </c>
      <c r="G118" s="19" t="n">
        <v>1356.77</v>
      </c>
      <c r="H118" s="15" t="n">
        <v>0.0698</v>
      </c>
      <c r="I118" s="17" t="inlineStr">
        <is>
          <t>Monitor</t>
        </is>
      </c>
    </row>
    <row r="119">
      <c r="A119" s="13" t="inlineStr">
        <is>
          <t>STG-03</t>
        </is>
      </c>
      <c r="B119" s="13" t="inlineStr">
        <is>
          <t>Desert Vault</t>
        </is>
      </c>
      <c r="C119" s="13" t="inlineStr">
        <is>
          <t>Self-Storage</t>
        </is>
      </c>
      <c r="D119" s="14" t="n">
        <v>45566</v>
      </c>
      <c r="E119" s="19" t="n">
        <v>19538.68</v>
      </c>
      <c r="F119" s="19" t="n">
        <v>18311.36</v>
      </c>
      <c r="G119" s="19" t="n">
        <v>1227.32</v>
      </c>
      <c r="H119" s="15" t="n">
        <v>0.06279999999999999</v>
      </c>
      <c r="I119" s="17" t="inlineStr">
        <is>
          <t>Monitor</t>
        </is>
      </c>
    </row>
    <row r="120">
      <c r="A120" s="13" t="inlineStr">
        <is>
          <t>STG-03</t>
        </is>
      </c>
      <c r="B120" s="13" t="inlineStr">
        <is>
          <t>Desert Vault</t>
        </is>
      </c>
      <c r="C120" s="13" t="inlineStr">
        <is>
          <t>Self-Storage</t>
        </is>
      </c>
      <c r="D120" s="14" t="n">
        <v>45597</v>
      </c>
      <c r="E120" s="19" t="n">
        <v>19718.76</v>
      </c>
      <c r="F120" s="19" t="n">
        <v>18323.14</v>
      </c>
      <c r="G120" s="19" t="n">
        <v>1395.62</v>
      </c>
      <c r="H120" s="15" t="n">
        <v>0.0708</v>
      </c>
      <c r="I120" s="17" t="inlineStr">
        <is>
          <t>Monitor</t>
        </is>
      </c>
    </row>
    <row r="121">
      <c r="A121" s="13" t="inlineStr">
        <is>
          <t>STG-03</t>
        </is>
      </c>
      <c r="B121" s="13" t="inlineStr">
        <is>
          <t>Desert Vault</t>
        </is>
      </c>
      <c r="C121" s="13" t="inlineStr">
        <is>
          <t>Self-Storage</t>
        </is>
      </c>
      <c r="D121" s="14" t="n">
        <v>45627</v>
      </c>
      <c r="E121" s="19" t="n">
        <v>19808.8</v>
      </c>
      <c r="F121" s="19" t="n">
        <v>18484.3</v>
      </c>
      <c r="G121" s="19" t="n">
        <v>1324.5</v>
      </c>
      <c r="H121" s="15" t="n">
        <v>0.0669</v>
      </c>
      <c r="I121" s="17" t="inlineStr">
        <is>
          <t>Monitor</t>
        </is>
      </c>
    </row>
    <row r="122">
      <c r="A122" s="13" t="inlineStr">
        <is>
          <t>STG-04</t>
        </is>
      </c>
      <c r="B122" s="13" t="inlineStr">
        <is>
          <t>Basin Self Storage</t>
        </is>
      </c>
      <c r="C122" s="13" t="inlineStr">
        <is>
          <t>Self-Storage</t>
        </is>
      </c>
      <c r="D122" s="14" t="n">
        <v>45292</v>
      </c>
      <c r="E122" s="19" t="n">
        <v>16452.74</v>
      </c>
      <c r="F122" s="19" t="n">
        <v>14992.57</v>
      </c>
      <c r="G122" s="19" t="n">
        <v>1460.17</v>
      </c>
      <c r="H122" s="15" t="n">
        <v>0.0887</v>
      </c>
      <c r="I122" s="20" t="inlineStr">
        <is>
          <t>At Risk</t>
        </is>
      </c>
    </row>
    <row r="123">
      <c r="A123" s="13" t="inlineStr">
        <is>
          <t>STG-04</t>
        </is>
      </c>
      <c r="B123" s="13" t="inlineStr">
        <is>
          <t>Basin Self Storage</t>
        </is>
      </c>
      <c r="C123" s="13" t="inlineStr">
        <is>
          <t>Self-Storage</t>
        </is>
      </c>
      <c r="D123" s="14" t="n">
        <v>45323</v>
      </c>
      <c r="E123" s="19" t="n">
        <v>17016.19</v>
      </c>
      <c r="F123" s="19" t="n">
        <v>15480.61</v>
      </c>
      <c r="G123" s="19" t="n">
        <v>1535.58</v>
      </c>
      <c r="H123" s="15" t="n">
        <v>0.0902</v>
      </c>
      <c r="I123" s="20" t="inlineStr">
        <is>
          <t>At Risk</t>
        </is>
      </c>
    </row>
    <row r="124">
      <c r="A124" s="13" t="inlineStr">
        <is>
          <t>STG-04</t>
        </is>
      </c>
      <c r="B124" s="13" t="inlineStr">
        <is>
          <t>Basin Self Storage</t>
        </is>
      </c>
      <c r="C124" s="13" t="inlineStr">
        <is>
          <t>Self-Storage</t>
        </is>
      </c>
      <c r="D124" s="14" t="n">
        <v>45352</v>
      </c>
      <c r="E124" s="19" t="n">
        <v>17241.57</v>
      </c>
      <c r="F124" s="19" t="n">
        <v>15793.91</v>
      </c>
      <c r="G124" s="19" t="n">
        <v>1447.66</v>
      </c>
      <c r="H124" s="15" t="n">
        <v>0.08400000000000001</v>
      </c>
      <c r="I124" s="20" t="inlineStr">
        <is>
          <t>At Risk</t>
        </is>
      </c>
    </row>
    <row r="125">
      <c r="A125" s="13" t="inlineStr">
        <is>
          <t>STG-04</t>
        </is>
      </c>
      <c r="B125" s="13" t="inlineStr">
        <is>
          <t>Basin Self Storage</t>
        </is>
      </c>
      <c r="C125" s="13" t="inlineStr">
        <is>
          <t>Self-Storage</t>
        </is>
      </c>
      <c r="D125" s="14" t="n">
        <v>45383</v>
      </c>
      <c r="E125" s="19" t="n">
        <v>17579.64</v>
      </c>
      <c r="F125" s="19" t="n">
        <v>16132.14</v>
      </c>
      <c r="G125" s="19" t="n">
        <v>1447.5</v>
      </c>
      <c r="H125" s="15" t="n">
        <v>0.0823</v>
      </c>
      <c r="I125" s="20" t="inlineStr">
        <is>
          <t>At Risk</t>
        </is>
      </c>
    </row>
    <row r="126">
      <c r="A126" s="13" t="inlineStr">
        <is>
          <t>STG-04</t>
        </is>
      </c>
      <c r="B126" s="13" t="inlineStr">
        <is>
          <t>Basin Self Storage</t>
        </is>
      </c>
      <c r="C126" s="13" t="inlineStr">
        <is>
          <t>Self-Storage</t>
        </is>
      </c>
      <c r="D126" s="14" t="n">
        <v>45413</v>
      </c>
      <c r="E126" s="19" t="n">
        <v>17692.33</v>
      </c>
      <c r="F126" s="19" t="n">
        <v>16175.22</v>
      </c>
      <c r="G126" s="19" t="n">
        <v>1517.11</v>
      </c>
      <c r="H126" s="15" t="n">
        <v>0.0857</v>
      </c>
      <c r="I126" s="20" t="inlineStr">
        <is>
          <t>At Risk</t>
        </is>
      </c>
    </row>
    <row r="127">
      <c r="A127" s="13" t="inlineStr">
        <is>
          <t>STG-04</t>
        </is>
      </c>
      <c r="B127" s="13" t="inlineStr">
        <is>
          <t>Basin Self Storage</t>
        </is>
      </c>
      <c r="C127" s="13" t="inlineStr">
        <is>
          <t>Self-Storage</t>
        </is>
      </c>
      <c r="D127" s="14" t="n">
        <v>45444</v>
      </c>
      <c r="E127" s="19" t="n">
        <v>18030.4</v>
      </c>
      <c r="F127" s="19" t="n">
        <v>16664.06</v>
      </c>
      <c r="G127" s="19" t="n">
        <v>1366.34</v>
      </c>
      <c r="H127" s="15" t="n">
        <v>0.07580000000000001</v>
      </c>
      <c r="I127" s="17" t="inlineStr">
        <is>
          <t>Monitor</t>
        </is>
      </c>
    </row>
    <row r="128">
      <c r="A128" s="13" t="inlineStr">
        <is>
          <t>STG-04</t>
        </is>
      </c>
      <c r="B128" s="13" t="inlineStr">
        <is>
          <t>Basin Self Storage</t>
        </is>
      </c>
      <c r="C128" s="13" t="inlineStr">
        <is>
          <t>Self-Storage</t>
        </is>
      </c>
      <c r="D128" s="14" t="n">
        <v>45474</v>
      </c>
      <c r="E128" s="19" t="n">
        <v>18030.4</v>
      </c>
      <c r="F128" s="19" t="n">
        <v>16613.38</v>
      </c>
      <c r="G128" s="19" t="n">
        <v>1417.02</v>
      </c>
      <c r="H128" s="15" t="n">
        <v>0.0786</v>
      </c>
      <c r="I128" s="17" t="inlineStr">
        <is>
          <t>Monitor</t>
        </is>
      </c>
    </row>
    <row r="129">
      <c r="A129" s="13" t="inlineStr">
        <is>
          <t>STG-04</t>
        </is>
      </c>
      <c r="B129" s="13" t="inlineStr">
        <is>
          <t>Basin Self Storage</t>
        </is>
      </c>
      <c r="C129" s="13" t="inlineStr">
        <is>
          <t>Self-Storage</t>
        </is>
      </c>
      <c r="D129" s="14" t="n">
        <v>45505</v>
      </c>
      <c r="E129" s="19" t="n">
        <v>18481.16</v>
      </c>
      <c r="F129" s="19" t="n">
        <v>16942.53</v>
      </c>
      <c r="G129" s="19" t="n">
        <v>1538.63</v>
      </c>
      <c r="H129" s="15" t="n">
        <v>0.0833</v>
      </c>
      <c r="I129" s="20" t="inlineStr">
        <is>
          <t>At Risk</t>
        </is>
      </c>
    </row>
    <row r="130">
      <c r="A130" s="13" t="inlineStr">
        <is>
          <t>STG-04</t>
        </is>
      </c>
      <c r="B130" s="13" t="inlineStr">
        <is>
          <t>Basin Self Storage</t>
        </is>
      </c>
      <c r="C130" s="13" t="inlineStr">
        <is>
          <t>Self-Storage</t>
        </is>
      </c>
      <c r="D130" s="14" t="n">
        <v>45536</v>
      </c>
      <c r="E130" s="19" t="n">
        <v>18255.78</v>
      </c>
      <c r="F130" s="19" t="n">
        <v>16769.62</v>
      </c>
      <c r="G130" s="19" t="n">
        <v>1486.16</v>
      </c>
      <c r="H130" s="15" t="n">
        <v>0.0814</v>
      </c>
      <c r="I130" s="20" t="inlineStr">
        <is>
          <t>At Risk</t>
        </is>
      </c>
    </row>
    <row r="131">
      <c r="A131" s="13" t="inlineStr">
        <is>
          <t>STG-04</t>
        </is>
      </c>
      <c r="B131" s="13" t="inlineStr">
        <is>
          <t>Basin Self Storage</t>
        </is>
      </c>
      <c r="C131" s="13" t="inlineStr">
        <is>
          <t>Self-Storage</t>
        </is>
      </c>
      <c r="D131" s="14" t="n">
        <v>45566</v>
      </c>
      <c r="E131" s="19" t="n">
        <v>18481.16</v>
      </c>
      <c r="F131" s="19" t="n">
        <v>17214.91</v>
      </c>
      <c r="G131" s="19" t="n">
        <v>1266.25</v>
      </c>
      <c r="H131" s="15" t="n">
        <v>0.06850000000000001</v>
      </c>
      <c r="I131" s="17" t="inlineStr">
        <is>
          <t>Monitor</t>
        </is>
      </c>
    </row>
    <row r="132">
      <c r="A132" s="13" t="inlineStr">
        <is>
          <t>STG-04</t>
        </is>
      </c>
      <c r="B132" s="13" t="inlineStr">
        <is>
          <t>Basin Self Storage</t>
        </is>
      </c>
      <c r="C132" s="13" t="inlineStr">
        <is>
          <t>Self-Storage</t>
        </is>
      </c>
      <c r="D132" s="14" t="n">
        <v>45597</v>
      </c>
      <c r="E132" s="19" t="n">
        <v>19157.3</v>
      </c>
      <c r="F132" s="19" t="n">
        <v>17847.4</v>
      </c>
      <c r="G132" s="19" t="n">
        <v>1309.9</v>
      </c>
      <c r="H132" s="15" t="n">
        <v>0.0684</v>
      </c>
      <c r="I132" s="17" t="inlineStr">
        <is>
          <t>Monitor</t>
        </is>
      </c>
    </row>
    <row r="133">
      <c r="A133" s="13" t="inlineStr">
        <is>
          <t>STG-04</t>
        </is>
      </c>
      <c r="B133" s="13" t="inlineStr">
        <is>
          <t>Basin Self Storage</t>
        </is>
      </c>
      <c r="C133" s="13" t="inlineStr">
        <is>
          <t>Self-Storage</t>
        </is>
      </c>
      <c r="D133" s="14" t="n">
        <v>45627</v>
      </c>
      <c r="E133" s="19" t="n">
        <v>19157.3</v>
      </c>
      <c r="F133" s="19" t="n">
        <v>17870.27</v>
      </c>
      <c r="G133" s="19" t="n">
        <v>1287.03</v>
      </c>
      <c r="H133" s="15" t="n">
        <v>0.0672</v>
      </c>
      <c r="I133" s="17" t="inlineStr">
        <is>
          <t>Monitor</t>
        </is>
      </c>
    </row>
    <row r="134">
      <c r="A134" s="13" t="inlineStr">
        <is>
          <t>STG-05</t>
        </is>
      </c>
      <c r="B134" s="13" t="inlineStr">
        <is>
          <t>Summit Storage</t>
        </is>
      </c>
      <c r="C134" s="13" t="inlineStr">
        <is>
          <t>Self-Storage</t>
        </is>
      </c>
      <c r="D134" s="14" t="n">
        <v>45292</v>
      </c>
      <c r="E134" s="19" t="n">
        <v>20921.44</v>
      </c>
      <c r="F134" s="19" t="n">
        <v>19557.38</v>
      </c>
      <c r="G134" s="19" t="n">
        <v>1364.06</v>
      </c>
      <c r="H134" s="15" t="n">
        <v>0.06519999999999999</v>
      </c>
      <c r="I134" s="17" t="inlineStr">
        <is>
          <t>Monitor</t>
        </is>
      </c>
    </row>
    <row r="135">
      <c r="A135" s="13" t="inlineStr">
        <is>
          <t>STG-05</t>
        </is>
      </c>
      <c r="B135" s="13" t="inlineStr">
        <is>
          <t>Summit Storage</t>
        </is>
      </c>
      <c r="C135" s="13" t="inlineStr">
        <is>
          <t>Self-Storage</t>
        </is>
      </c>
      <c r="D135" s="14" t="n">
        <v>45323</v>
      </c>
      <c r="E135" s="19" t="n">
        <v>20830.08</v>
      </c>
      <c r="F135" s="19" t="n">
        <v>19466.14</v>
      </c>
      <c r="G135" s="19" t="n">
        <v>1363.94</v>
      </c>
      <c r="H135" s="15" t="n">
        <v>0.0655</v>
      </c>
      <c r="I135" s="17" t="inlineStr">
        <is>
          <t>Monitor</t>
        </is>
      </c>
    </row>
    <row r="136">
      <c r="A136" s="13" t="inlineStr">
        <is>
          <t>STG-05</t>
        </is>
      </c>
      <c r="B136" s="13" t="inlineStr">
        <is>
          <t>Summit Storage</t>
        </is>
      </c>
      <c r="C136" s="13" t="inlineStr">
        <is>
          <t>Self-Storage</t>
        </is>
      </c>
      <c r="D136" s="14" t="n">
        <v>45352</v>
      </c>
      <c r="E136" s="19" t="n">
        <v>21012.8</v>
      </c>
      <c r="F136" s="19" t="n">
        <v>19618.19</v>
      </c>
      <c r="G136" s="19" t="n">
        <v>1394.61</v>
      </c>
      <c r="H136" s="15" t="n">
        <v>0.0664</v>
      </c>
      <c r="I136" s="17" t="inlineStr">
        <is>
          <t>Monitor</t>
        </is>
      </c>
    </row>
    <row r="137">
      <c r="A137" s="13" t="inlineStr">
        <is>
          <t>STG-05</t>
        </is>
      </c>
      <c r="B137" s="13" t="inlineStr">
        <is>
          <t>Summit Storage</t>
        </is>
      </c>
      <c r="C137" s="13" t="inlineStr">
        <is>
          <t>Self-Storage</t>
        </is>
      </c>
      <c r="D137" s="14" t="n">
        <v>45383</v>
      </c>
      <c r="E137" s="19" t="n">
        <v>21195.52</v>
      </c>
      <c r="F137" s="19" t="n">
        <v>19899.17</v>
      </c>
      <c r="G137" s="19" t="n">
        <v>1296.35</v>
      </c>
      <c r="H137" s="15" t="n">
        <v>0.0612</v>
      </c>
      <c r="I137" s="17" t="inlineStr">
        <is>
          <t>Monitor</t>
        </is>
      </c>
    </row>
    <row r="138">
      <c r="A138" s="13" t="inlineStr">
        <is>
          <t>STG-05</t>
        </is>
      </c>
      <c r="B138" s="13" t="inlineStr">
        <is>
          <t>Summit Storage</t>
        </is>
      </c>
      <c r="C138" s="13" t="inlineStr">
        <is>
          <t>Self-Storage</t>
        </is>
      </c>
      <c r="D138" s="14" t="n">
        <v>45413</v>
      </c>
      <c r="E138" s="19" t="n">
        <v>21104.16</v>
      </c>
      <c r="F138" s="19" t="n">
        <v>19847.84</v>
      </c>
      <c r="G138" s="19" t="n">
        <v>1256.32</v>
      </c>
      <c r="H138" s="15" t="n">
        <v>0.0595</v>
      </c>
      <c r="I138" s="17" t="inlineStr">
        <is>
          <t>Monitor</t>
        </is>
      </c>
    </row>
    <row r="139">
      <c r="A139" s="13" t="inlineStr">
        <is>
          <t>STG-05</t>
        </is>
      </c>
      <c r="B139" s="13" t="inlineStr">
        <is>
          <t>Summit Storage</t>
        </is>
      </c>
      <c r="C139" s="13" t="inlineStr">
        <is>
          <t>Self-Storage</t>
        </is>
      </c>
      <c r="D139" s="14" t="n">
        <v>45444</v>
      </c>
      <c r="E139" s="19" t="n">
        <v>21286.88</v>
      </c>
      <c r="F139" s="19" t="n">
        <v>19827.66</v>
      </c>
      <c r="G139" s="19" t="n">
        <v>1459.22</v>
      </c>
      <c r="H139" s="15" t="n">
        <v>0.06859999999999999</v>
      </c>
      <c r="I139" s="17" t="inlineStr">
        <is>
          <t>Monitor</t>
        </is>
      </c>
    </row>
    <row r="140">
      <c r="A140" s="13" t="inlineStr">
        <is>
          <t>STG-05</t>
        </is>
      </c>
      <c r="B140" s="13" t="inlineStr">
        <is>
          <t>Summit Storage</t>
        </is>
      </c>
      <c r="C140" s="13" t="inlineStr">
        <is>
          <t>Self-Storage</t>
        </is>
      </c>
      <c r="D140" s="14" t="n">
        <v>45474</v>
      </c>
      <c r="E140" s="19" t="n">
        <v>21104.16</v>
      </c>
      <c r="F140" s="19" t="n">
        <v>19671.25</v>
      </c>
      <c r="G140" s="19" t="n">
        <v>1432.91</v>
      </c>
      <c r="H140" s="15" t="n">
        <v>0.0679</v>
      </c>
      <c r="I140" s="17" t="inlineStr">
        <is>
          <t>Monitor</t>
        </is>
      </c>
    </row>
    <row r="141">
      <c r="A141" s="13" t="inlineStr">
        <is>
          <t>STG-05</t>
        </is>
      </c>
      <c r="B141" s="13" t="inlineStr">
        <is>
          <t>Summit Storage</t>
        </is>
      </c>
      <c r="C141" s="13" t="inlineStr">
        <is>
          <t>Self-Storage</t>
        </is>
      </c>
      <c r="D141" s="14" t="n">
        <v>45505</v>
      </c>
      <c r="E141" s="19" t="n">
        <v>21378.24</v>
      </c>
      <c r="F141" s="19" t="n">
        <v>19930.85</v>
      </c>
      <c r="G141" s="19" t="n">
        <v>1447.39</v>
      </c>
      <c r="H141" s="15" t="n">
        <v>0.0677</v>
      </c>
      <c r="I141" s="17" t="inlineStr">
        <is>
          <t>Monitor</t>
        </is>
      </c>
    </row>
    <row r="142">
      <c r="A142" s="13" t="inlineStr">
        <is>
          <t>STG-05</t>
        </is>
      </c>
      <c r="B142" s="13" t="inlineStr">
        <is>
          <t>Summit Storage</t>
        </is>
      </c>
      <c r="C142" s="13" t="inlineStr">
        <is>
          <t>Self-Storage</t>
        </is>
      </c>
      <c r="D142" s="14" t="n">
        <v>45536</v>
      </c>
      <c r="E142" s="19" t="n">
        <v>21560.96</v>
      </c>
      <c r="F142" s="19" t="n">
        <v>19984.43</v>
      </c>
      <c r="G142" s="19" t="n">
        <v>1576.53</v>
      </c>
      <c r="H142" s="15" t="n">
        <v>0.0731</v>
      </c>
      <c r="I142" s="17" t="inlineStr">
        <is>
          <t>Monitor</t>
        </is>
      </c>
    </row>
    <row r="143">
      <c r="A143" s="13" t="inlineStr">
        <is>
          <t>STG-05</t>
        </is>
      </c>
      <c r="B143" s="13" t="inlineStr">
        <is>
          <t>Summit Storage</t>
        </is>
      </c>
      <c r="C143" s="13" t="inlineStr">
        <is>
          <t>Self-Storage</t>
        </is>
      </c>
      <c r="D143" s="14" t="n">
        <v>45566</v>
      </c>
      <c r="E143" s="19" t="n">
        <v>21378.24</v>
      </c>
      <c r="F143" s="19" t="n">
        <v>19881.13</v>
      </c>
      <c r="G143" s="19" t="n">
        <v>1497.11</v>
      </c>
      <c r="H143" s="15" t="n">
        <v>0.07000000000000001</v>
      </c>
      <c r="I143" s="17" t="inlineStr">
        <is>
          <t>Monitor</t>
        </is>
      </c>
    </row>
    <row r="144">
      <c r="A144" s="13" t="inlineStr">
        <is>
          <t>STG-05</t>
        </is>
      </c>
      <c r="B144" s="13" t="inlineStr">
        <is>
          <t>Summit Storage</t>
        </is>
      </c>
      <c r="C144" s="13" t="inlineStr">
        <is>
          <t>Self-Storage</t>
        </is>
      </c>
      <c r="D144" s="14" t="n">
        <v>45597</v>
      </c>
      <c r="E144" s="19" t="n">
        <v>21743.68</v>
      </c>
      <c r="F144" s="19" t="n">
        <v>20369.81</v>
      </c>
      <c r="G144" s="19" t="n">
        <v>1373.87</v>
      </c>
      <c r="H144" s="15" t="n">
        <v>0.06320000000000001</v>
      </c>
      <c r="I144" s="17" t="inlineStr">
        <is>
          <t>Monitor</t>
        </is>
      </c>
    </row>
    <row r="145">
      <c r="A145" s="13" t="inlineStr">
        <is>
          <t>STG-05</t>
        </is>
      </c>
      <c r="B145" s="13" t="inlineStr">
        <is>
          <t>Summit Storage</t>
        </is>
      </c>
      <c r="C145" s="13" t="inlineStr">
        <is>
          <t>Self-Storage</t>
        </is>
      </c>
      <c r="D145" s="14" t="n">
        <v>45627</v>
      </c>
      <c r="E145" s="19" t="n">
        <v>21469.6</v>
      </c>
      <c r="F145" s="19" t="n">
        <v>19885.03</v>
      </c>
      <c r="G145" s="19" t="n">
        <v>1584.57</v>
      </c>
      <c r="H145" s="15" t="n">
        <v>0.0738</v>
      </c>
      <c r="I145" s="17" t="inlineStr">
        <is>
          <t>Monitor</t>
        </is>
      </c>
    </row>
  </sheetData>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4" customWidth="1" min="3" max="3"/>
    <col width="12" customWidth="1" min="4" max="4"/>
    <col width="15" customWidth="1" min="5" max="5"/>
    <col width="20" customWidth="1" min="6" max="6"/>
    <col width="12" customWidth="1" min="7" max="7"/>
    <col width="12" customWidth="1" min="8" max="8"/>
    <col width="15" customWidth="1" min="9" max="9"/>
  </cols>
  <sheetData>
    <row r="1">
      <c r="A1" s="6" t="inlineStr">
        <is>
          <t>Property ID</t>
        </is>
      </c>
      <c r="B1" s="6" t="inlineStr">
        <is>
          <t>Property Name</t>
        </is>
      </c>
      <c r="C1" s="6" t="inlineStr">
        <is>
          <t>Asset Type</t>
        </is>
      </c>
      <c r="D1" s="6" t="inlineStr">
        <is>
          <t>Month</t>
        </is>
      </c>
      <c r="E1" s="6" t="inlineStr">
        <is>
          <t>Total Revenue</t>
        </is>
      </c>
      <c r="F1" s="6" t="inlineStr">
        <is>
          <t>Operating Expenses</t>
        </is>
      </c>
      <c r="G1" s="6" t="inlineStr">
        <is>
          <t>NOI</t>
        </is>
      </c>
      <c r="H1" s="6" t="inlineStr">
        <is>
          <t>NOI Margin</t>
        </is>
      </c>
      <c r="I1" s="6" t="inlineStr">
        <is>
          <t>Expense Ratio</t>
        </is>
      </c>
    </row>
    <row r="2">
      <c r="A2" s="13" t="inlineStr">
        <is>
          <t>MHC-01</t>
        </is>
      </c>
      <c r="B2" s="13" t="inlineStr">
        <is>
          <t>Sunrise Meadows</t>
        </is>
      </c>
      <c r="C2" s="13" t="inlineStr">
        <is>
          <t>MHC</t>
        </is>
      </c>
      <c r="D2" s="14" t="n">
        <v>45292</v>
      </c>
      <c r="E2" s="19" t="n">
        <v>87405.22</v>
      </c>
      <c r="F2" s="19" t="n">
        <v>37869.87</v>
      </c>
      <c r="G2" s="19" t="n">
        <v>49535.35</v>
      </c>
      <c r="H2" s="21" t="n">
        <v>0.5667</v>
      </c>
      <c r="I2" s="15" t="n">
        <v>0.4333</v>
      </c>
    </row>
    <row r="3">
      <c r="A3" s="13" t="inlineStr">
        <is>
          <t>MHC-01</t>
        </is>
      </c>
      <c r="B3" s="13" t="inlineStr">
        <is>
          <t>Sunrise Meadows</t>
        </is>
      </c>
      <c r="C3" s="13" t="inlineStr">
        <is>
          <t>MHC</t>
        </is>
      </c>
      <c r="D3" s="14" t="n">
        <v>45323</v>
      </c>
      <c r="E3" s="19" t="n">
        <v>88960.13</v>
      </c>
      <c r="F3" s="19" t="n">
        <v>38006.55</v>
      </c>
      <c r="G3" s="19" t="n">
        <v>50953.58</v>
      </c>
      <c r="H3" s="21" t="n">
        <v>0.5728</v>
      </c>
      <c r="I3" s="15" t="n">
        <v>0.4272</v>
      </c>
    </row>
    <row r="4">
      <c r="A4" s="13" t="inlineStr">
        <is>
          <t>MHC-01</t>
        </is>
      </c>
      <c r="B4" s="13" t="inlineStr">
        <is>
          <t>Sunrise Meadows</t>
        </is>
      </c>
      <c r="C4" s="13" t="inlineStr">
        <is>
          <t>MHC</t>
        </is>
      </c>
      <c r="D4" s="14" t="n">
        <v>45352</v>
      </c>
      <c r="E4" s="19" t="n">
        <v>88529.45</v>
      </c>
      <c r="F4" s="19" t="n">
        <v>38176.7</v>
      </c>
      <c r="G4" s="19" t="n">
        <v>50352.75</v>
      </c>
      <c r="H4" s="21" t="n">
        <v>0.5688</v>
      </c>
      <c r="I4" s="15" t="n">
        <v>0.4312</v>
      </c>
    </row>
    <row r="5">
      <c r="A5" s="13" t="inlineStr">
        <is>
          <t>MHC-01</t>
        </is>
      </c>
      <c r="B5" s="13" t="inlineStr">
        <is>
          <t>Sunrise Meadows</t>
        </is>
      </c>
      <c r="C5" s="13" t="inlineStr">
        <is>
          <t>MHC</t>
        </is>
      </c>
      <c r="D5" s="14" t="n">
        <v>45383</v>
      </c>
      <c r="E5" s="19" t="n">
        <v>90143.96000000001</v>
      </c>
      <c r="F5" s="19" t="n">
        <v>39580.71</v>
      </c>
      <c r="G5" s="19" t="n">
        <v>50563.25</v>
      </c>
      <c r="H5" s="21" t="n">
        <v>0.5609</v>
      </c>
      <c r="I5" s="15" t="n">
        <v>0.4391</v>
      </c>
    </row>
    <row r="6">
      <c r="A6" s="13" t="inlineStr">
        <is>
          <t>MHC-01</t>
        </is>
      </c>
      <c r="B6" s="13" t="inlineStr">
        <is>
          <t>Sunrise Meadows</t>
        </is>
      </c>
      <c r="C6" s="13" t="inlineStr">
        <is>
          <t>MHC</t>
        </is>
      </c>
      <c r="D6" s="14" t="n">
        <v>45413</v>
      </c>
      <c r="E6" s="19" t="n">
        <v>90473.11</v>
      </c>
      <c r="F6" s="19" t="n">
        <v>40942.16</v>
      </c>
      <c r="G6" s="19" t="n">
        <v>49530.95</v>
      </c>
      <c r="H6" s="21" t="n">
        <v>0.5475</v>
      </c>
      <c r="I6" s="15" t="n">
        <v>0.4525</v>
      </c>
    </row>
    <row r="7">
      <c r="A7" s="13" t="inlineStr">
        <is>
          <t>MHC-01</t>
        </is>
      </c>
      <c r="B7" s="13" t="inlineStr">
        <is>
          <t>Sunrise Meadows</t>
        </is>
      </c>
      <c r="C7" s="13" t="inlineStr">
        <is>
          <t>MHC</t>
        </is>
      </c>
      <c r="D7" s="14" t="n">
        <v>45444</v>
      </c>
      <c r="E7" s="19" t="n">
        <v>88443.09</v>
      </c>
      <c r="F7" s="19" t="n">
        <v>40278.05</v>
      </c>
      <c r="G7" s="19" t="n">
        <v>48165.04</v>
      </c>
      <c r="H7" s="21" t="n">
        <v>0.5446</v>
      </c>
      <c r="I7" s="15" t="n">
        <v>0.4554</v>
      </c>
    </row>
    <row r="8">
      <c r="A8" s="13" t="inlineStr">
        <is>
          <t>MHC-01</t>
        </is>
      </c>
      <c r="B8" s="13" t="inlineStr">
        <is>
          <t>Sunrise Meadows</t>
        </is>
      </c>
      <c r="C8" s="13" t="inlineStr">
        <is>
          <t>MHC</t>
        </is>
      </c>
      <c r="D8" s="14" t="n">
        <v>45474</v>
      </c>
      <c r="E8" s="19" t="n">
        <v>87612.5</v>
      </c>
      <c r="F8" s="19" t="n">
        <v>40042.71</v>
      </c>
      <c r="G8" s="19" t="n">
        <v>47569.79</v>
      </c>
      <c r="H8" s="21" t="n">
        <v>0.543</v>
      </c>
      <c r="I8" s="15" t="n">
        <v>0.457</v>
      </c>
    </row>
    <row r="9">
      <c r="A9" s="13" t="inlineStr">
        <is>
          <t>MHC-01</t>
        </is>
      </c>
      <c r="B9" s="13" t="inlineStr">
        <is>
          <t>Sunrise Meadows</t>
        </is>
      </c>
      <c r="C9" s="13" t="inlineStr">
        <is>
          <t>MHC</t>
        </is>
      </c>
      <c r="D9" s="14" t="n">
        <v>45505</v>
      </c>
      <c r="E9" s="19" t="n">
        <v>94311.62</v>
      </c>
      <c r="F9" s="19" t="n">
        <v>44207.65</v>
      </c>
      <c r="G9" s="19" t="n">
        <v>50103.97</v>
      </c>
      <c r="H9" s="21" t="n">
        <v>0.5313</v>
      </c>
      <c r="I9" s="15" t="n">
        <v>0.4687</v>
      </c>
    </row>
    <row r="10">
      <c r="A10" s="13" t="inlineStr">
        <is>
          <t>MHC-01</t>
        </is>
      </c>
      <c r="B10" s="13" t="inlineStr">
        <is>
          <t>Sunrise Meadows</t>
        </is>
      </c>
      <c r="C10" s="13" t="inlineStr">
        <is>
          <t>MHC</t>
        </is>
      </c>
      <c r="D10" s="14" t="n">
        <v>45536</v>
      </c>
      <c r="E10" s="19" t="n">
        <v>88348.72</v>
      </c>
      <c r="F10" s="19" t="n">
        <v>41067.59</v>
      </c>
      <c r="G10" s="19" t="n">
        <v>47281.13</v>
      </c>
      <c r="H10" s="21" t="n">
        <v>0.5352</v>
      </c>
      <c r="I10" s="15" t="n">
        <v>0.4648</v>
      </c>
    </row>
    <row r="11">
      <c r="A11" s="13" t="inlineStr">
        <is>
          <t>MHC-01</t>
        </is>
      </c>
      <c r="B11" s="13" t="inlineStr">
        <is>
          <t>Sunrise Meadows</t>
        </is>
      </c>
      <c r="C11" s="13" t="inlineStr">
        <is>
          <t>MHC</t>
        </is>
      </c>
      <c r="D11" s="14" t="n">
        <v>45566</v>
      </c>
      <c r="E11" s="19" t="n">
        <v>92502.02</v>
      </c>
      <c r="F11" s="19" t="n">
        <v>42641.58</v>
      </c>
      <c r="G11" s="19" t="n">
        <v>49860.44</v>
      </c>
      <c r="H11" s="21" t="n">
        <v>0.539</v>
      </c>
      <c r="I11" s="15" t="n">
        <v>0.461</v>
      </c>
    </row>
    <row r="12">
      <c r="A12" s="13" t="inlineStr">
        <is>
          <t>MHC-01</t>
        </is>
      </c>
      <c r="B12" s="13" t="inlineStr">
        <is>
          <t>Sunrise Meadows</t>
        </is>
      </c>
      <c r="C12" s="13" t="inlineStr">
        <is>
          <t>MHC</t>
        </is>
      </c>
      <c r="D12" s="14" t="n">
        <v>45597</v>
      </c>
      <c r="E12" s="19" t="n">
        <v>92057.36</v>
      </c>
      <c r="F12" s="19" t="n">
        <v>44021.54</v>
      </c>
      <c r="G12" s="19" t="n">
        <v>48035.82</v>
      </c>
      <c r="H12" s="21" t="n">
        <v>0.5218</v>
      </c>
      <c r="I12" s="15" t="n">
        <v>0.4782</v>
      </c>
    </row>
    <row r="13">
      <c r="A13" s="13" t="inlineStr">
        <is>
          <t>MHC-01</t>
        </is>
      </c>
      <c r="B13" s="13" t="inlineStr">
        <is>
          <t>Sunrise Meadows</t>
        </is>
      </c>
      <c r="C13" s="13" t="inlineStr">
        <is>
          <t>MHC</t>
        </is>
      </c>
      <c r="D13" s="14" t="n">
        <v>45627</v>
      </c>
      <c r="E13" s="19" t="n">
        <v>88202.89</v>
      </c>
      <c r="F13" s="19" t="n">
        <v>42762.93</v>
      </c>
      <c r="G13" s="19" t="n">
        <v>45439.96</v>
      </c>
      <c r="H13" s="21" t="n">
        <v>0.5152</v>
      </c>
      <c r="I13" s="15" t="n">
        <v>0.4848</v>
      </c>
    </row>
    <row r="14">
      <c r="A14" s="13" t="inlineStr">
        <is>
          <t>MHC-02</t>
        </is>
      </c>
      <c r="B14" s="13" t="inlineStr">
        <is>
          <t>Desert Palms</t>
        </is>
      </c>
      <c r="C14" s="13" t="inlineStr">
        <is>
          <t>MHC</t>
        </is>
      </c>
      <c r="D14" s="14" t="n">
        <v>45292</v>
      </c>
      <c r="E14" s="19" t="n">
        <v>58620.18</v>
      </c>
      <c r="F14" s="19" t="n">
        <v>25708.1</v>
      </c>
      <c r="G14" s="19" t="n">
        <v>32912.08</v>
      </c>
      <c r="H14" s="21" t="n">
        <v>0.5614</v>
      </c>
      <c r="I14" s="15" t="n">
        <v>0.4386</v>
      </c>
    </row>
    <row r="15">
      <c r="A15" s="13" t="inlineStr">
        <is>
          <t>MHC-02</t>
        </is>
      </c>
      <c r="B15" s="13" t="inlineStr">
        <is>
          <t>Desert Palms</t>
        </is>
      </c>
      <c r="C15" s="13" t="inlineStr">
        <is>
          <t>MHC</t>
        </is>
      </c>
      <c r="D15" s="14" t="n">
        <v>45323</v>
      </c>
      <c r="E15" s="19" t="n">
        <v>57416.48</v>
      </c>
      <c r="F15" s="19" t="n">
        <v>25088.67</v>
      </c>
      <c r="G15" s="19" t="n">
        <v>32327.81</v>
      </c>
      <c r="H15" s="21" t="n">
        <v>0.5629999999999999</v>
      </c>
      <c r="I15" s="15" t="n">
        <v>0.437</v>
      </c>
    </row>
    <row r="16">
      <c r="A16" s="13" t="inlineStr">
        <is>
          <t>MHC-02</t>
        </is>
      </c>
      <c r="B16" s="13" t="inlineStr">
        <is>
          <t>Desert Palms</t>
        </is>
      </c>
      <c r="C16" s="13" t="inlineStr">
        <is>
          <t>MHC</t>
        </is>
      </c>
      <c r="D16" s="14" t="n">
        <v>45352</v>
      </c>
      <c r="E16" s="19" t="n">
        <v>59452.25</v>
      </c>
      <c r="F16" s="19" t="n">
        <v>27287.85</v>
      </c>
      <c r="G16" s="19" t="n">
        <v>32164.4</v>
      </c>
      <c r="H16" s="21" t="n">
        <v>0.541</v>
      </c>
      <c r="I16" s="15" t="n">
        <v>0.459</v>
      </c>
    </row>
    <row r="17">
      <c r="A17" s="13" t="inlineStr">
        <is>
          <t>MHC-02</t>
        </is>
      </c>
      <c r="B17" s="13" t="inlineStr">
        <is>
          <t>Desert Palms</t>
        </is>
      </c>
      <c r="C17" s="13" t="inlineStr">
        <is>
          <t>MHC</t>
        </is>
      </c>
      <c r="D17" s="14" t="n">
        <v>45383</v>
      </c>
      <c r="E17" s="19" t="n">
        <v>59050.58</v>
      </c>
      <c r="F17" s="19" t="n">
        <v>27343.7</v>
      </c>
      <c r="G17" s="19" t="n">
        <v>31706.88</v>
      </c>
      <c r="H17" s="21" t="n">
        <v>0.5369</v>
      </c>
      <c r="I17" s="15" t="n">
        <v>0.4631</v>
      </c>
    </row>
    <row r="18">
      <c r="A18" s="13" t="inlineStr">
        <is>
          <t>MHC-02</t>
        </is>
      </c>
      <c r="B18" s="13" t="inlineStr">
        <is>
          <t>Desert Palms</t>
        </is>
      </c>
      <c r="C18" s="13" t="inlineStr">
        <is>
          <t>MHC</t>
        </is>
      </c>
      <c r="D18" s="14" t="n">
        <v>45413</v>
      </c>
      <c r="E18" s="19" t="n">
        <v>61420.38</v>
      </c>
      <c r="F18" s="19" t="n">
        <v>27932.76</v>
      </c>
      <c r="G18" s="19" t="n">
        <v>33487.62</v>
      </c>
      <c r="H18" s="21" t="n">
        <v>0.5452</v>
      </c>
      <c r="I18" s="15" t="n">
        <v>0.4548</v>
      </c>
    </row>
    <row r="19">
      <c r="A19" s="13" t="inlineStr">
        <is>
          <t>MHC-02</t>
        </is>
      </c>
      <c r="B19" s="13" t="inlineStr">
        <is>
          <t>Desert Palms</t>
        </is>
      </c>
      <c r="C19" s="13" t="inlineStr">
        <is>
          <t>MHC</t>
        </is>
      </c>
      <c r="D19" s="14" t="n">
        <v>45444</v>
      </c>
      <c r="E19" s="19" t="n">
        <v>60926.53</v>
      </c>
      <c r="F19" s="19" t="n">
        <v>28235.66</v>
      </c>
      <c r="G19" s="19" t="n">
        <v>32690.87</v>
      </c>
      <c r="H19" s="21" t="n">
        <v>0.5366</v>
      </c>
      <c r="I19" s="15" t="n">
        <v>0.4634</v>
      </c>
    </row>
    <row r="20">
      <c r="A20" s="13" t="inlineStr">
        <is>
          <t>MHC-02</t>
        </is>
      </c>
      <c r="B20" s="13" t="inlineStr">
        <is>
          <t>Desert Palms</t>
        </is>
      </c>
      <c r="C20" s="13" t="inlineStr">
        <is>
          <t>MHC</t>
        </is>
      </c>
      <c r="D20" s="14" t="n">
        <v>45474</v>
      </c>
      <c r="E20" s="19" t="n">
        <v>59505.18</v>
      </c>
      <c r="F20" s="19" t="n">
        <v>28482.14</v>
      </c>
      <c r="G20" s="19" t="n">
        <v>31023.04</v>
      </c>
      <c r="H20" s="21" t="n">
        <v>0.5214</v>
      </c>
      <c r="I20" s="15" t="n">
        <v>0.4786</v>
      </c>
    </row>
    <row r="21">
      <c r="A21" s="13" t="inlineStr">
        <is>
          <t>MHC-02</t>
        </is>
      </c>
      <c r="B21" s="13" t="inlineStr">
        <is>
          <t>Desert Palms</t>
        </is>
      </c>
      <c r="C21" s="13" t="inlineStr">
        <is>
          <t>MHC</t>
        </is>
      </c>
      <c r="D21" s="14" t="n">
        <v>45505</v>
      </c>
      <c r="E21" s="19" t="n">
        <v>61984.96</v>
      </c>
      <c r="F21" s="19" t="n">
        <v>30134.63</v>
      </c>
      <c r="G21" s="19" t="n">
        <v>31850.33</v>
      </c>
      <c r="H21" s="21" t="n">
        <v>0.5138</v>
      </c>
      <c r="I21" s="15" t="n">
        <v>0.4862</v>
      </c>
    </row>
    <row r="22">
      <c r="A22" s="13" t="inlineStr">
        <is>
          <t>MHC-02</t>
        </is>
      </c>
      <c r="B22" s="13" t="inlineStr">
        <is>
          <t>Desert Palms</t>
        </is>
      </c>
      <c r="C22" s="13" t="inlineStr">
        <is>
          <t>MHC</t>
        </is>
      </c>
      <c r="D22" s="14" t="n">
        <v>45536</v>
      </c>
      <c r="E22" s="19" t="n">
        <v>59257.58</v>
      </c>
      <c r="F22" s="19" t="n">
        <v>28362.28</v>
      </c>
      <c r="G22" s="19" t="n">
        <v>30895.3</v>
      </c>
      <c r="H22" s="21" t="n">
        <v>0.5214</v>
      </c>
      <c r="I22" s="15" t="n">
        <v>0.4786</v>
      </c>
    </row>
    <row r="23">
      <c r="A23" s="13" t="inlineStr">
        <is>
          <t>MHC-02</t>
        </is>
      </c>
      <c r="B23" s="13" t="inlineStr">
        <is>
          <t>Desert Palms</t>
        </is>
      </c>
      <c r="C23" s="13" t="inlineStr">
        <is>
          <t>MHC</t>
        </is>
      </c>
      <c r="D23" s="14" t="n">
        <v>45566</v>
      </c>
      <c r="E23" s="19" t="n">
        <v>61519.63</v>
      </c>
      <c r="F23" s="19" t="n">
        <v>30433.34</v>
      </c>
      <c r="G23" s="19" t="n">
        <v>31086.29</v>
      </c>
      <c r="H23" s="21" t="n">
        <v>0.5053</v>
      </c>
      <c r="I23" s="15" t="n">
        <v>0.4947</v>
      </c>
    </row>
    <row r="24">
      <c r="A24" s="13" t="inlineStr">
        <is>
          <t>MHC-02</t>
        </is>
      </c>
      <c r="B24" s="13" t="inlineStr">
        <is>
          <t>Desert Palms</t>
        </is>
      </c>
      <c r="C24" s="13" t="inlineStr">
        <is>
          <t>MHC</t>
        </is>
      </c>
      <c r="D24" s="14" t="n">
        <v>45597</v>
      </c>
      <c r="E24" s="19" t="n">
        <v>62025.71</v>
      </c>
      <c r="F24" s="19" t="n">
        <v>30558.39</v>
      </c>
      <c r="G24" s="19" t="n">
        <v>31467.32</v>
      </c>
      <c r="H24" s="21" t="n">
        <v>0.5073</v>
      </c>
      <c r="I24" s="15" t="n">
        <v>0.4927</v>
      </c>
    </row>
    <row r="25">
      <c r="A25" s="13" t="inlineStr">
        <is>
          <t>MHC-02</t>
        </is>
      </c>
      <c r="B25" s="13" t="inlineStr">
        <is>
          <t>Desert Palms</t>
        </is>
      </c>
      <c r="C25" s="13" t="inlineStr">
        <is>
          <t>MHC</t>
        </is>
      </c>
      <c r="D25" s="14" t="n">
        <v>45627</v>
      </c>
      <c r="E25" s="19" t="n">
        <v>59567.61</v>
      </c>
      <c r="F25" s="19" t="n">
        <v>29372.26</v>
      </c>
      <c r="G25" s="19" t="n">
        <v>30195.35</v>
      </c>
      <c r="H25" s="21" t="n">
        <v>0.5069</v>
      </c>
      <c r="I25" s="15" t="n">
        <v>0.4931</v>
      </c>
    </row>
    <row r="26">
      <c r="A26" s="13" t="inlineStr">
        <is>
          <t>MHC-03</t>
        </is>
      </c>
      <c r="B26" s="13" t="inlineStr">
        <is>
          <t>Canyon Ridge</t>
        </is>
      </c>
      <c r="C26" s="13" t="inlineStr">
        <is>
          <t>MHC</t>
        </is>
      </c>
      <c r="D26" s="14" t="n">
        <v>45292</v>
      </c>
      <c r="E26" s="19" t="n">
        <v>64054.97</v>
      </c>
      <c r="F26" s="19" t="n">
        <v>31854.03</v>
      </c>
      <c r="G26" s="19" t="n">
        <v>32200.94</v>
      </c>
      <c r="H26" s="21" t="n">
        <v>0.5027</v>
      </c>
      <c r="I26" s="15" t="n">
        <v>0.4973</v>
      </c>
    </row>
    <row r="27">
      <c r="A27" s="13" t="inlineStr">
        <is>
          <t>MHC-03</t>
        </is>
      </c>
      <c r="B27" s="13" t="inlineStr">
        <is>
          <t>Canyon Ridge</t>
        </is>
      </c>
      <c r="C27" s="13" t="inlineStr">
        <is>
          <t>MHC</t>
        </is>
      </c>
      <c r="D27" s="14" t="n">
        <v>45323</v>
      </c>
      <c r="E27" s="19" t="n">
        <v>64793.88</v>
      </c>
      <c r="F27" s="19" t="n">
        <v>32328.43</v>
      </c>
      <c r="G27" s="19" t="n">
        <v>32465.45</v>
      </c>
      <c r="H27" s="21" t="n">
        <v>0.5011</v>
      </c>
      <c r="I27" s="15" t="n">
        <v>0.4989</v>
      </c>
    </row>
    <row r="28">
      <c r="A28" s="13" t="inlineStr">
        <is>
          <t>MHC-03</t>
        </is>
      </c>
      <c r="B28" s="13" t="inlineStr">
        <is>
          <t>Canyon Ridge</t>
        </is>
      </c>
      <c r="C28" s="13" t="inlineStr">
        <is>
          <t>MHC</t>
        </is>
      </c>
      <c r="D28" s="14" t="n">
        <v>45352</v>
      </c>
      <c r="E28" s="19" t="n">
        <v>63554.46</v>
      </c>
      <c r="F28" s="19" t="n">
        <v>30884.31</v>
      </c>
      <c r="G28" s="19" t="n">
        <v>32670.15</v>
      </c>
      <c r="H28" s="21" t="n">
        <v>0.514</v>
      </c>
      <c r="I28" s="15" t="n">
        <v>0.486</v>
      </c>
    </row>
    <row r="29">
      <c r="A29" s="13" t="inlineStr">
        <is>
          <t>MHC-03</t>
        </is>
      </c>
      <c r="B29" s="13" t="inlineStr">
        <is>
          <t>Canyon Ridge</t>
        </is>
      </c>
      <c r="C29" s="13" t="inlineStr">
        <is>
          <t>MHC</t>
        </is>
      </c>
      <c r="D29" s="14" t="n">
        <v>45383</v>
      </c>
      <c r="E29" s="19" t="n">
        <v>61922.32</v>
      </c>
      <c r="F29" s="19" t="n">
        <v>30640.74</v>
      </c>
      <c r="G29" s="19" t="n">
        <v>31281.58</v>
      </c>
      <c r="H29" s="21" t="n">
        <v>0.5052</v>
      </c>
      <c r="I29" s="15" t="n">
        <v>0.4948</v>
      </c>
    </row>
    <row r="30">
      <c r="A30" s="13" t="inlineStr">
        <is>
          <t>MHC-03</t>
        </is>
      </c>
      <c r="B30" s="13" t="inlineStr">
        <is>
          <t>Canyon Ridge</t>
        </is>
      </c>
      <c r="C30" s="13" t="inlineStr">
        <is>
          <t>MHC</t>
        </is>
      </c>
      <c r="D30" s="14" t="n">
        <v>45413</v>
      </c>
      <c r="E30" s="19" t="n">
        <v>63367.83</v>
      </c>
      <c r="F30" s="19" t="n">
        <v>32124.56</v>
      </c>
      <c r="G30" s="19" t="n">
        <v>31243.27</v>
      </c>
      <c r="H30" s="21" t="n">
        <v>0.493</v>
      </c>
      <c r="I30" s="15" t="n">
        <v>0.507</v>
      </c>
    </row>
    <row r="31">
      <c r="A31" s="13" t="inlineStr">
        <is>
          <t>MHC-03</t>
        </is>
      </c>
      <c r="B31" s="13" t="inlineStr">
        <is>
          <t>Canyon Ridge</t>
        </is>
      </c>
      <c r="C31" s="13" t="inlineStr">
        <is>
          <t>MHC</t>
        </is>
      </c>
      <c r="D31" s="14" t="n">
        <v>45444</v>
      </c>
      <c r="E31" s="19" t="n">
        <v>64331.96</v>
      </c>
      <c r="F31" s="19" t="n">
        <v>32799.74</v>
      </c>
      <c r="G31" s="19" t="n">
        <v>31532.22</v>
      </c>
      <c r="H31" s="21" t="n">
        <v>0.4901</v>
      </c>
      <c r="I31" s="15" t="n">
        <v>0.5099</v>
      </c>
    </row>
    <row r="32">
      <c r="A32" s="13" t="inlineStr">
        <is>
          <t>MHC-03</t>
        </is>
      </c>
      <c r="B32" s="13" t="inlineStr">
        <is>
          <t>Canyon Ridge</t>
        </is>
      </c>
      <c r="C32" s="13" t="inlineStr">
        <is>
          <t>MHC</t>
        </is>
      </c>
      <c r="D32" s="14" t="n">
        <v>45474</v>
      </c>
      <c r="E32" s="19" t="n">
        <v>62774.38</v>
      </c>
      <c r="F32" s="19" t="n">
        <v>32147.46</v>
      </c>
      <c r="G32" s="19" t="n">
        <v>30626.92</v>
      </c>
      <c r="H32" s="21" t="n">
        <v>0.4879</v>
      </c>
      <c r="I32" s="15" t="n">
        <v>0.5121</v>
      </c>
    </row>
    <row r="33">
      <c r="A33" s="13" t="inlineStr">
        <is>
          <t>MHC-03</t>
        </is>
      </c>
      <c r="B33" s="13" t="inlineStr">
        <is>
          <t>Canyon Ridge</t>
        </is>
      </c>
      <c r="C33" s="13" t="inlineStr">
        <is>
          <t>MHC</t>
        </is>
      </c>
      <c r="D33" s="14" t="n">
        <v>45505</v>
      </c>
      <c r="E33" s="19" t="n">
        <v>62540.14</v>
      </c>
      <c r="F33" s="19" t="n">
        <v>32304.12</v>
      </c>
      <c r="G33" s="19" t="n">
        <v>30236.02</v>
      </c>
      <c r="H33" s="21" t="n">
        <v>0.4835</v>
      </c>
      <c r="I33" s="15" t="n">
        <v>0.5165</v>
      </c>
    </row>
    <row r="34">
      <c r="A34" s="13" t="inlineStr">
        <is>
          <t>MHC-03</t>
        </is>
      </c>
      <c r="B34" s="13" t="inlineStr">
        <is>
          <t>Canyon Ridge</t>
        </is>
      </c>
      <c r="C34" s="13" t="inlineStr">
        <is>
          <t>MHC</t>
        </is>
      </c>
      <c r="D34" s="14" t="n">
        <v>45536</v>
      </c>
      <c r="E34" s="19" t="n">
        <v>63615.1</v>
      </c>
      <c r="F34" s="19" t="n">
        <v>32206.22</v>
      </c>
      <c r="G34" s="19" t="n">
        <v>31408.88</v>
      </c>
      <c r="H34" s="21" t="n">
        <v>0.4937</v>
      </c>
      <c r="I34" s="15" t="n">
        <v>0.5063</v>
      </c>
    </row>
    <row r="35">
      <c r="A35" s="13" t="inlineStr">
        <is>
          <t>MHC-03</t>
        </is>
      </c>
      <c r="B35" s="13" t="inlineStr">
        <is>
          <t>Canyon Ridge</t>
        </is>
      </c>
      <c r="C35" s="13" t="inlineStr">
        <is>
          <t>MHC</t>
        </is>
      </c>
      <c r="D35" s="14" t="n">
        <v>45566</v>
      </c>
      <c r="E35" s="19" t="n">
        <v>63403.3</v>
      </c>
      <c r="F35" s="19" t="n">
        <v>32573.54</v>
      </c>
      <c r="G35" s="19" t="n">
        <v>30829.76</v>
      </c>
      <c r="H35" s="21" t="n">
        <v>0.4862</v>
      </c>
      <c r="I35" s="15" t="n">
        <v>0.5138</v>
      </c>
    </row>
    <row r="36">
      <c r="A36" s="13" t="inlineStr">
        <is>
          <t>MHC-03</t>
        </is>
      </c>
      <c r="B36" s="13" t="inlineStr">
        <is>
          <t>Canyon Ridge</t>
        </is>
      </c>
      <c r="C36" s="13" t="inlineStr">
        <is>
          <t>MHC</t>
        </is>
      </c>
      <c r="D36" s="14" t="n">
        <v>45597</v>
      </c>
      <c r="E36" s="19" t="n">
        <v>63125.99</v>
      </c>
      <c r="F36" s="19" t="n">
        <v>33026.23</v>
      </c>
      <c r="G36" s="19" t="n">
        <v>30099.76</v>
      </c>
      <c r="H36" s="21" t="n">
        <v>0.4768</v>
      </c>
      <c r="I36" s="15" t="n">
        <v>0.5232</v>
      </c>
    </row>
    <row r="37">
      <c r="A37" s="13" t="inlineStr">
        <is>
          <t>MHC-03</t>
        </is>
      </c>
      <c r="B37" s="13" t="inlineStr">
        <is>
          <t>Canyon Ridge</t>
        </is>
      </c>
      <c r="C37" s="13" t="inlineStr">
        <is>
          <t>MHC</t>
        </is>
      </c>
      <c r="D37" s="14" t="n">
        <v>45627</v>
      </c>
      <c r="E37" s="19" t="n">
        <v>61689.94</v>
      </c>
      <c r="F37" s="19" t="n">
        <v>31491.07</v>
      </c>
      <c r="G37" s="19" t="n">
        <v>30198.87</v>
      </c>
      <c r="H37" s="21" t="n">
        <v>0.4895</v>
      </c>
      <c r="I37" s="15" t="n">
        <v>0.5105</v>
      </c>
    </row>
    <row r="38">
      <c r="A38" s="13" t="inlineStr">
        <is>
          <t>MHC-04</t>
        </is>
      </c>
      <c r="B38" s="13" t="inlineStr">
        <is>
          <t>Saguaro Estates</t>
        </is>
      </c>
      <c r="C38" s="13" t="inlineStr">
        <is>
          <t>MHC</t>
        </is>
      </c>
      <c r="D38" s="14" t="n">
        <v>45292</v>
      </c>
      <c r="E38" s="19" t="n">
        <v>104091.27</v>
      </c>
      <c r="F38" s="19" t="n">
        <v>39197.15</v>
      </c>
      <c r="G38" s="19" t="n">
        <v>64894.12</v>
      </c>
      <c r="H38" s="21" t="n">
        <v>0.6234</v>
      </c>
      <c r="I38" s="15" t="n">
        <v>0.3766</v>
      </c>
    </row>
    <row r="39">
      <c r="A39" s="13" t="inlineStr">
        <is>
          <t>MHC-04</t>
        </is>
      </c>
      <c r="B39" s="13" t="inlineStr">
        <is>
          <t>Saguaro Estates</t>
        </is>
      </c>
      <c r="C39" s="13" t="inlineStr">
        <is>
          <t>MHC</t>
        </is>
      </c>
      <c r="D39" s="14" t="n">
        <v>45323</v>
      </c>
      <c r="E39" s="19" t="n">
        <v>108465.77</v>
      </c>
      <c r="F39" s="19" t="n">
        <v>42624.24</v>
      </c>
      <c r="G39" s="19" t="n">
        <v>65841.53</v>
      </c>
      <c r="H39" s="21" t="n">
        <v>0.607</v>
      </c>
      <c r="I39" s="15" t="n">
        <v>0.393</v>
      </c>
    </row>
    <row r="40">
      <c r="A40" s="13" t="inlineStr">
        <is>
          <t>MHC-04</t>
        </is>
      </c>
      <c r="B40" s="13" t="inlineStr">
        <is>
          <t>Saguaro Estates</t>
        </is>
      </c>
      <c r="C40" s="13" t="inlineStr">
        <is>
          <t>MHC</t>
        </is>
      </c>
      <c r="D40" s="14" t="n">
        <v>45352</v>
      </c>
      <c r="E40" s="19" t="n">
        <v>106025.93</v>
      </c>
      <c r="F40" s="19" t="n">
        <v>41360.97</v>
      </c>
      <c r="G40" s="19" t="n">
        <v>64664.96</v>
      </c>
      <c r="H40" s="21" t="n">
        <v>0.6099</v>
      </c>
      <c r="I40" s="15" t="n">
        <v>0.3901</v>
      </c>
    </row>
    <row r="41">
      <c r="A41" s="13" t="inlineStr">
        <is>
          <t>MHC-04</t>
        </is>
      </c>
      <c r="B41" s="13" t="inlineStr">
        <is>
          <t>Saguaro Estates</t>
        </is>
      </c>
      <c r="C41" s="13" t="inlineStr">
        <is>
          <t>MHC</t>
        </is>
      </c>
      <c r="D41" s="14" t="n">
        <v>45383</v>
      </c>
      <c r="E41" s="19" t="n">
        <v>107680.03</v>
      </c>
      <c r="F41" s="19" t="n">
        <v>43129.31</v>
      </c>
      <c r="G41" s="19" t="n">
        <v>64550.72</v>
      </c>
      <c r="H41" s="21" t="n">
        <v>0.5995</v>
      </c>
      <c r="I41" s="15" t="n">
        <v>0.4005</v>
      </c>
    </row>
    <row r="42">
      <c r="A42" s="13" t="inlineStr">
        <is>
          <t>MHC-04</t>
        </is>
      </c>
      <c r="B42" s="13" t="inlineStr">
        <is>
          <t>Saguaro Estates</t>
        </is>
      </c>
      <c r="C42" s="13" t="inlineStr">
        <is>
          <t>MHC</t>
        </is>
      </c>
      <c r="D42" s="14" t="n">
        <v>45413</v>
      </c>
      <c r="E42" s="19" t="n">
        <v>108226.61</v>
      </c>
      <c r="F42" s="19" t="n">
        <v>43651.06</v>
      </c>
      <c r="G42" s="19" t="n">
        <v>64575.55</v>
      </c>
      <c r="H42" s="21" t="n">
        <v>0.5967</v>
      </c>
      <c r="I42" s="15" t="n">
        <v>0.4033</v>
      </c>
    </row>
    <row r="43">
      <c r="A43" s="13" t="inlineStr">
        <is>
          <t>MHC-04</t>
        </is>
      </c>
      <c r="B43" s="13" t="inlineStr">
        <is>
          <t>Saguaro Estates</t>
        </is>
      </c>
      <c r="C43" s="13" t="inlineStr">
        <is>
          <t>MHC</t>
        </is>
      </c>
      <c r="D43" s="14" t="n">
        <v>45444</v>
      </c>
      <c r="E43" s="19" t="n">
        <v>109035.76</v>
      </c>
      <c r="F43" s="19" t="n">
        <v>44441.87</v>
      </c>
      <c r="G43" s="19" t="n">
        <v>64593.89</v>
      </c>
      <c r="H43" s="21" t="n">
        <v>0.5924</v>
      </c>
      <c r="I43" s="15" t="n">
        <v>0.4076</v>
      </c>
    </row>
    <row r="44">
      <c r="A44" s="13" t="inlineStr">
        <is>
          <t>MHC-04</t>
        </is>
      </c>
      <c r="B44" s="13" t="inlineStr">
        <is>
          <t>Saguaro Estates</t>
        </is>
      </c>
      <c r="C44" s="13" t="inlineStr">
        <is>
          <t>MHC</t>
        </is>
      </c>
      <c r="D44" s="14" t="n">
        <v>45474</v>
      </c>
      <c r="E44" s="19" t="n">
        <v>107645.59</v>
      </c>
      <c r="F44" s="19" t="n">
        <v>44249.75</v>
      </c>
      <c r="G44" s="19" t="n">
        <v>63395.84</v>
      </c>
      <c r="H44" s="21" t="n">
        <v>0.5889</v>
      </c>
      <c r="I44" s="15" t="n">
        <v>0.4111</v>
      </c>
    </row>
    <row r="45">
      <c r="A45" s="13" t="inlineStr">
        <is>
          <t>MHC-04</t>
        </is>
      </c>
      <c r="B45" s="13" t="inlineStr">
        <is>
          <t>Saguaro Estates</t>
        </is>
      </c>
      <c r="C45" s="13" t="inlineStr">
        <is>
          <t>MHC</t>
        </is>
      </c>
      <c r="D45" s="14" t="n">
        <v>45505</v>
      </c>
      <c r="E45" s="19" t="n">
        <v>105958.11</v>
      </c>
      <c r="F45" s="19" t="n">
        <v>42131.34</v>
      </c>
      <c r="G45" s="19" t="n">
        <v>63826.77</v>
      </c>
      <c r="H45" s="21" t="n">
        <v>0.6024</v>
      </c>
      <c r="I45" s="15" t="n">
        <v>0.3976</v>
      </c>
    </row>
    <row r="46">
      <c r="A46" s="13" t="inlineStr">
        <is>
          <t>MHC-04</t>
        </is>
      </c>
      <c r="B46" s="13" t="inlineStr">
        <is>
          <t>Saguaro Estates</t>
        </is>
      </c>
      <c r="C46" s="13" t="inlineStr">
        <is>
          <t>MHC</t>
        </is>
      </c>
      <c r="D46" s="14" t="n">
        <v>45536</v>
      </c>
      <c r="E46" s="19" t="n">
        <v>109239.16</v>
      </c>
      <c r="F46" s="19" t="n">
        <v>45188.07</v>
      </c>
      <c r="G46" s="19" t="n">
        <v>64051.09</v>
      </c>
      <c r="H46" s="21" t="n">
        <v>0.5863</v>
      </c>
      <c r="I46" s="15" t="n">
        <v>0.4137</v>
      </c>
    </row>
    <row r="47">
      <c r="A47" s="13" t="inlineStr">
        <is>
          <t>MHC-04</t>
        </is>
      </c>
      <c r="B47" s="13" t="inlineStr">
        <is>
          <t>Saguaro Estates</t>
        </is>
      </c>
      <c r="C47" s="13" t="inlineStr">
        <is>
          <t>MHC</t>
        </is>
      </c>
      <c r="D47" s="14" t="n">
        <v>45566</v>
      </c>
      <c r="E47" s="19" t="n">
        <v>109691.76</v>
      </c>
      <c r="F47" s="19" t="n">
        <v>45505.79</v>
      </c>
      <c r="G47" s="19" t="n">
        <v>64185.97</v>
      </c>
      <c r="H47" s="21" t="n">
        <v>0.5851</v>
      </c>
      <c r="I47" s="15" t="n">
        <v>0.4149</v>
      </c>
    </row>
    <row r="48">
      <c r="A48" s="13" t="inlineStr">
        <is>
          <t>MHC-04</t>
        </is>
      </c>
      <c r="B48" s="13" t="inlineStr">
        <is>
          <t>Saguaro Estates</t>
        </is>
      </c>
      <c r="C48" s="13" t="inlineStr">
        <is>
          <t>MHC</t>
        </is>
      </c>
      <c r="D48" s="14" t="n">
        <v>45597</v>
      </c>
      <c r="E48" s="19" t="n">
        <v>107391.61</v>
      </c>
      <c r="F48" s="19" t="n">
        <v>44467.38</v>
      </c>
      <c r="G48" s="19" t="n">
        <v>62924.23</v>
      </c>
      <c r="H48" s="21" t="n">
        <v>0.5859</v>
      </c>
      <c r="I48" s="15" t="n">
        <v>0.4141</v>
      </c>
    </row>
    <row r="49">
      <c r="A49" s="13" t="inlineStr">
        <is>
          <t>MHC-04</t>
        </is>
      </c>
      <c r="B49" s="13" t="inlineStr">
        <is>
          <t>Saguaro Estates</t>
        </is>
      </c>
      <c r="C49" s="13" t="inlineStr">
        <is>
          <t>MHC</t>
        </is>
      </c>
      <c r="D49" s="14" t="n">
        <v>45627</v>
      </c>
      <c r="E49" s="19" t="n">
        <v>109844.99</v>
      </c>
      <c r="F49" s="19" t="n">
        <v>45596.05</v>
      </c>
      <c r="G49" s="19" t="n">
        <v>64248.94</v>
      </c>
      <c r="H49" s="21" t="n">
        <v>0.5849</v>
      </c>
      <c r="I49" s="15" t="n">
        <v>0.4151</v>
      </c>
    </row>
    <row r="50">
      <c r="A50" s="13" t="inlineStr">
        <is>
          <t>MHC-05</t>
        </is>
      </c>
      <c r="B50" s="13" t="inlineStr">
        <is>
          <t>Pinon Pines</t>
        </is>
      </c>
      <c r="C50" s="13" t="inlineStr">
        <is>
          <t>MHC</t>
        </is>
      </c>
      <c r="D50" s="14" t="n">
        <v>45292</v>
      </c>
      <c r="E50" s="19" t="n">
        <v>45965.19</v>
      </c>
      <c r="F50" s="19" t="n">
        <v>22524.5</v>
      </c>
      <c r="G50" s="19" t="n">
        <v>23440.69</v>
      </c>
      <c r="H50" s="21" t="n">
        <v>0.51</v>
      </c>
      <c r="I50" s="15" t="n">
        <v>0.49</v>
      </c>
    </row>
    <row r="51">
      <c r="A51" s="13" t="inlineStr">
        <is>
          <t>MHC-05</t>
        </is>
      </c>
      <c r="B51" s="13" t="inlineStr">
        <is>
          <t>Pinon Pines</t>
        </is>
      </c>
      <c r="C51" s="13" t="inlineStr">
        <is>
          <t>MHC</t>
        </is>
      </c>
      <c r="D51" s="14" t="n">
        <v>45323</v>
      </c>
      <c r="E51" s="19" t="n">
        <v>49754.85</v>
      </c>
      <c r="F51" s="19" t="n">
        <v>25006.15</v>
      </c>
      <c r="G51" s="19" t="n">
        <v>24748.7</v>
      </c>
      <c r="H51" s="21" t="n">
        <v>0.4974</v>
      </c>
      <c r="I51" s="15" t="n">
        <v>0.5026</v>
      </c>
    </row>
    <row r="52">
      <c r="A52" s="13" t="inlineStr">
        <is>
          <t>MHC-05</t>
        </is>
      </c>
      <c r="B52" s="13" t="inlineStr">
        <is>
          <t>Pinon Pines</t>
        </is>
      </c>
      <c r="C52" s="13" t="inlineStr">
        <is>
          <t>MHC</t>
        </is>
      </c>
      <c r="D52" s="14" t="n">
        <v>45352</v>
      </c>
      <c r="E52" s="19" t="n">
        <v>48684.19</v>
      </c>
      <c r="F52" s="19" t="n">
        <v>24754.71</v>
      </c>
      <c r="G52" s="19" t="n">
        <v>23929.48</v>
      </c>
      <c r="H52" s="21" t="n">
        <v>0.4915</v>
      </c>
      <c r="I52" s="15" t="n">
        <v>0.5085</v>
      </c>
    </row>
    <row r="53">
      <c r="A53" s="13" t="inlineStr">
        <is>
          <t>MHC-05</t>
        </is>
      </c>
      <c r="B53" s="13" t="inlineStr">
        <is>
          <t>Pinon Pines</t>
        </is>
      </c>
      <c r="C53" s="13" t="inlineStr">
        <is>
          <t>MHC</t>
        </is>
      </c>
      <c r="D53" s="14" t="n">
        <v>45383</v>
      </c>
      <c r="E53" s="19" t="n">
        <v>50053.88</v>
      </c>
      <c r="F53" s="19" t="n">
        <v>25164.04</v>
      </c>
      <c r="G53" s="19" t="n">
        <v>24889.84</v>
      </c>
      <c r="H53" s="21" t="n">
        <v>0.4973</v>
      </c>
      <c r="I53" s="15" t="n">
        <v>0.5027</v>
      </c>
    </row>
    <row r="54">
      <c r="A54" s="13" t="inlineStr">
        <is>
          <t>MHC-05</t>
        </is>
      </c>
      <c r="B54" s="13" t="inlineStr">
        <is>
          <t>Pinon Pines</t>
        </is>
      </c>
      <c r="C54" s="13" t="inlineStr">
        <is>
          <t>MHC</t>
        </is>
      </c>
      <c r="D54" s="14" t="n">
        <v>45413</v>
      </c>
      <c r="E54" s="19" t="n">
        <v>48623.59</v>
      </c>
      <c r="F54" s="19" t="n">
        <v>24825.14</v>
      </c>
      <c r="G54" s="19" t="n">
        <v>23798.45</v>
      </c>
      <c r="H54" s="21" t="n">
        <v>0.4894</v>
      </c>
      <c r="I54" s="15" t="n">
        <v>0.5106000000000001</v>
      </c>
    </row>
    <row r="55">
      <c r="A55" s="13" t="inlineStr">
        <is>
          <t>MHC-05</t>
        </is>
      </c>
      <c r="B55" s="13" t="inlineStr">
        <is>
          <t>Pinon Pines</t>
        </is>
      </c>
      <c r="C55" s="13" t="inlineStr">
        <is>
          <t>MHC</t>
        </is>
      </c>
      <c r="D55" s="14" t="n">
        <v>45444</v>
      </c>
      <c r="E55" s="19" t="n">
        <v>50235.57</v>
      </c>
      <c r="F55" s="19" t="n">
        <v>25387.51</v>
      </c>
      <c r="G55" s="19" t="n">
        <v>24848.06</v>
      </c>
      <c r="H55" s="21" t="n">
        <v>0.4946</v>
      </c>
      <c r="I55" s="15" t="n">
        <v>0.5054</v>
      </c>
    </row>
    <row r="56">
      <c r="A56" s="13" t="inlineStr">
        <is>
          <t>MHC-05</t>
        </is>
      </c>
      <c r="B56" s="13" t="inlineStr">
        <is>
          <t>Pinon Pines</t>
        </is>
      </c>
      <c r="C56" s="13" t="inlineStr">
        <is>
          <t>MHC</t>
        </is>
      </c>
      <c r="D56" s="14" t="n">
        <v>45474</v>
      </c>
      <c r="E56" s="19" t="n">
        <v>49765.17</v>
      </c>
      <c r="F56" s="19" t="n">
        <v>25644.2</v>
      </c>
      <c r="G56" s="19" t="n">
        <v>24120.97</v>
      </c>
      <c r="H56" s="21" t="n">
        <v>0.4847</v>
      </c>
      <c r="I56" s="15" t="n">
        <v>0.5153</v>
      </c>
    </row>
    <row r="57">
      <c r="A57" s="13" t="inlineStr">
        <is>
          <t>MHC-05</t>
        </is>
      </c>
      <c r="B57" s="13" t="inlineStr">
        <is>
          <t>Pinon Pines</t>
        </is>
      </c>
      <c r="C57" s="13" t="inlineStr">
        <is>
          <t>MHC</t>
        </is>
      </c>
      <c r="D57" s="14" t="n">
        <v>45505</v>
      </c>
      <c r="E57" s="19" t="n">
        <v>48902.9</v>
      </c>
      <c r="F57" s="19" t="n">
        <v>24887.32</v>
      </c>
      <c r="G57" s="19" t="n">
        <v>24015.58</v>
      </c>
      <c r="H57" s="21" t="n">
        <v>0.4911</v>
      </c>
      <c r="I57" s="15" t="n">
        <v>0.5089</v>
      </c>
    </row>
    <row r="58">
      <c r="A58" s="13" t="inlineStr">
        <is>
          <t>MHC-05</t>
        </is>
      </c>
      <c r="B58" s="13" t="inlineStr">
        <is>
          <t>Pinon Pines</t>
        </is>
      </c>
      <c r="C58" s="13" t="inlineStr">
        <is>
          <t>MHC</t>
        </is>
      </c>
      <c r="D58" s="14" t="n">
        <v>45536</v>
      </c>
      <c r="E58" s="19" t="n">
        <v>49718.5</v>
      </c>
      <c r="F58" s="19" t="n">
        <v>25485.38</v>
      </c>
      <c r="G58" s="19" t="n">
        <v>24233.12</v>
      </c>
      <c r="H58" s="21" t="n">
        <v>0.4874</v>
      </c>
      <c r="I58" s="15" t="n">
        <v>0.5125999999999999</v>
      </c>
    </row>
    <row r="59">
      <c r="A59" s="13" t="inlineStr">
        <is>
          <t>MHC-05</t>
        </is>
      </c>
      <c r="B59" s="13" t="inlineStr">
        <is>
          <t>Pinon Pines</t>
        </is>
      </c>
      <c r="C59" s="13" t="inlineStr">
        <is>
          <t>MHC</t>
        </is>
      </c>
      <c r="D59" s="14" t="n">
        <v>45566</v>
      </c>
      <c r="E59" s="19" t="n">
        <v>50799.31</v>
      </c>
      <c r="F59" s="19" t="n">
        <v>25852.25</v>
      </c>
      <c r="G59" s="19" t="n">
        <v>24947.06</v>
      </c>
      <c r="H59" s="21" t="n">
        <v>0.4911</v>
      </c>
      <c r="I59" s="15" t="n">
        <v>0.5089</v>
      </c>
    </row>
    <row r="60">
      <c r="A60" s="13" t="inlineStr">
        <is>
          <t>MHC-05</t>
        </is>
      </c>
      <c r="B60" s="13" t="inlineStr">
        <is>
          <t>Pinon Pines</t>
        </is>
      </c>
      <c r="C60" s="13" t="inlineStr">
        <is>
          <t>MHC</t>
        </is>
      </c>
      <c r="D60" s="14" t="n">
        <v>45597</v>
      </c>
      <c r="E60" s="19" t="n">
        <v>52465.9</v>
      </c>
      <c r="F60" s="19" t="n">
        <v>27648.96</v>
      </c>
      <c r="G60" s="19" t="n">
        <v>24816.94</v>
      </c>
      <c r="H60" s="21" t="n">
        <v>0.473</v>
      </c>
      <c r="I60" s="15" t="n">
        <v>0.527</v>
      </c>
    </row>
    <row r="61">
      <c r="A61" s="13" t="inlineStr">
        <is>
          <t>MHC-05</t>
        </is>
      </c>
      <c r="B61" s="13" t="inlineStr">
        <is>
          <t>Pinon Pines</t>
        </is>
      </c>
      <c r="C61" s="13" t="inlineStr">
        <is>
          <t>MHC</t>
        </is>
      </c>
      <c r="D61" s="14" t="n">
        <v>45627</v>
      </c>
      <c r="E61" s="19" t="n">
        <v>51244.97</v>
      </c>
      <c r="F61" s="19" t="n">
        <v>27060.22</v>
      </c>
      <c r="G61" s="19" t="n">
        <v>24184.75</v>
      </c>
      <c r="H61" s="21" t="n">
        <v>0.4719</v>
      </c>
      <c r="I61" s="15" t="n">
        <v>0.5281</v>
      </c>
    </row>
    <row r="62">
      <c r="A62" s="13" t="inlineStr">
        <is>
          <t>MHC-06</t>
        </is>
      </c>
      <c r="B62" s="13" t="inlineStr">
        <is>
          <t>Red Rock Commons</t>
        </is>
      </c>
      <c r="C62" s="13" t="inlineStr">
        <is>
          <t>MHC</t>
        </is>
      </c>
      <c r="D62" s="14" t="n">
        <v>45292</v>
      </c>
      <c r="E62" s="19" t="n">
        <v>75178.49000000001</v>
      </c>
      <c r="F62" s="19" t="n">
        <v>32779.25</v>
      </c>
      <c r="G62" s="19" t="n">
        <v>42399.24</v>
      </c>
      <c r="H62" s="21" t="n">
        <v>0.5639999999999999</v>
      </c>
      <c r="I62" s="15" t="n">
        <v>0.436</v>
      </c>
    </row>
    <row r="63">
      <c r="A63" s="13" t="inlineStr">
        <is>
          <t>MHC-06</t>
        </is>
      </c>
      <c r="B63" s="13" t="inlineStr">
        <is>
          <t>Red Rock Commons</t>
        </is>
      </c>
      <c r="C63" s="13" t="inlineStr">
        <is>
          <t>MHC</t>
        </is>
      </c>
      <c r="D63" s="14" t="n">
        <v>45323</v>
      </c>
      <c r="E63" s="19" t="n">
        <v>74204.07000000001</v>
      </c>
      <c r="F63" s="19" t="n">
        <v>32110.73</v>
      </c>
      <c r="G63" s="19" t="n">
        <v>42093.34</v>
      </c>
      <c r="H63" s="21" t="n">
        <v>0.5673</v>
      </c>
      <c r="I63" s="15" t="n">
        <v>0.4327</v>
      </c>
    </row>
    <row r="64">
      <c r="A64" s="13" t="inlineStr">
        <is>
          <t>MHC-06</t>
        </is>
      </c>
      <c r="B64" s="13" t="inlineStr">
        <is>
          <t>Red Rock Commons</t>
        </is>
      </c>
      <c r="C64" s="13" t="inlineStr">
        <is>
          <t>MHC</t>
        </is>
      </c>
      <c r="D64" s="14" t="n">
        <v>45352</v>
      </c>
      <c r="E64" s="19" t="n">
        <v>75767.3</v>
      </c>
      <c r="F64" s="19" t="n">
        <v>33644.64</v>
      </c>
      <c r="G64" s="19" t="n">
        <v>42122.66</v>
      </c>
      <c r="H64" s="21" t="n">
        <v>0.5558999999999999</v>
      </c>
      <c r="I64" s="15" t="n">
        <v>0.4441</v>
      </c>
    </row>
    <row r="65">
      <c r="A65" s="13" t="inlineStr">
        <is>
          <t>MHC-06</t>
        </is>
      </c>
      <c r="B65" s="13" t="inlineStr">
        <is>
          <t>Red Rock Commons</t>
        </is>
      </c>
      <c r="C65" s="13" t="inlineStr">
        <is>
          <t>MHC</t>
        </is>
      </c>
      <c r="D65" s="14" t="n">
        <v>45383</v>
      </c>
      <c r="E65" s="19" t="n">
        <v>75536.97</v>
      </c>
      <c r="F65" s="19" t="n">
        <v>34088.02</v>
      </c>
      <c r="G65" s="19" t="n">
        <v>41448.95</v>
      </c>
      <c r="H65" s="21" t="n">
        <v>0.5487</v>
      </c>
      <c r="I65" s="15" t="n">
        <v>0.4513</v>
      </c>
    </row>
    <row r="66">
      <c r="A66" s="13" t="inlineStr">
        <is>
          <t>MHC-06</t>
        </is>
      </c>
      <c r="B66" s="13" t="inlineStr">
        <is>
          <t>Red Rock Commons</t>
        </is>
      </c>
      <c r="C66" s="13" t="inlineStr">
        <is>
          <t>MHC</t>
        </is>
      </c>
      <c r="D66" s="14" t="n">
        <v>45413</v>
      </c>
      <c r="E66" s="19" t="n">
        <v>76977.82000000001</v>
      </c>
      <c r="F66" s="19" t="n">
        <v>34620.95</v>
      </c>
      <c r="G66" s="19" t="n">
        <v>42356.87</v>
      </c>
      <c r="H66" s="21" t="n">
        <v>0.5502</v>
      </c>
      <c r="I66" s="15" t="n">
        <v>0.4498</v>
      </c>
    </row>
    <row r="67">
      <c r="A67" s="13" t="inlineStr">
        <is>
          <t>MHC-06</t>
        </is>
      </c>
      <c r="B67" s="13" t="inlineStr">
        <is>
          <t>Red Rock Commons</t>
        </is>
      </c>
      <c r="C67" s="13" t="inlineStr">
        <is>
          <t>MHC</t>
        </is>
      </c>
      <c r="D67" s="14" t="n">
        <v>45444</v>
      </c>
      <c r="E67" s="19" t="n">
        <v>75582.87</v>
      </c>
      <c r="F67" s="19" t="n">
        <v>34246.6</v>
      </c>
      <c r="G67" s="19" t="n">
        <v>41336.27</v>
      </c>
      <c r="H67" s="21" t="n">
        <v>0.5469000000000001</v>
      </c>
      <c r="I67" s="15" t="n">
        <v>0.4531</v>
      </c>
    </row>
    <row r="68">
      <c r="A68" s="13" t="inlineStr">
        <is>
          <t>MHC-06</t>
        </is>
      </c>
      <c r="B68" s="13" t="inlineStr">
        <is>
          <t>Red Rock Commons</t>
        </is>
      </c>
      <c r="C68" s="13" t="inlineStr">
        <is>
          <t>MHC</t>
        </is>
      </c>
      <c r="D68" s="14" t="n">
        <v>45474</v>
      </c>
      <c r="E68" s="19" t="n">
        <v>75516.03999999999</v>
      </c>
      <c r="F68" s="19" t="n">
        <v>34909.87</v>
      </c>
      <c r="G68" s="19" t="n">
        <v>40606.17</v>
      </c>
      <c r="H68" s="21" t="n">
        <v>0.5377</v>
      </c>
      <c r="I68" s="15" t="n">
        <v>0.4623</v>
      </c>
    </row>
    <row r="69">
      <c r="A69" s="13" t="inlineStr">
        <is>
          <t>MHC-06</t>
        </is>
      </c>
      <c r="B69" s="13" t="inlineStr">
        <is>
          <t>Red Rock Commons</t>
        </is>
      </c>
      <c r="C69" s="13" t="inlineStr">
        <is>
          <t>MHC</t>
        </is>
      </c>
      <c r="D69" s="14" t="n">
        <v>45505</v>
      </c>
      <c r="E69" s="19" t="n">
        <v>75159.06</v>
      </c>
      <c r="F69" s="19" t="n">
        <v>33880.71</v>
      </c>
      <c r="G69" s="19" t="n">
        <v>41278.35</v>
      </c>
      <c r="H69" s="21" t="n">
        <v>0.5492</v>
      </c>
      <c r="I69" s="15" t="n">
        <v>0.4508</v>
      </c>
    </row>
    <row r="70">
      <c r="A70" s="13" t="inlineStr">
        <is>
          <t>MHC-06</t>
        </is>
      </c>
      <c r="B70" s="13" t="inlineStr">
        <is>
          <t>Red Rock Commons</t>
        </is>
      </c>
      <c r="C70" s="13" t="inlineStr">
        <is>
          <t>MHC</t>
        </is>
      </c>
      <c r="D70" s="14" t="n">
        <v>45536</v>
      </c>
      <c r="E70" s="19" t="n">
        <v>75421.53</v>
      </c>
      <c r="F70" s="19" t="n">
        <v>35031.57</v>
      </c>
      <c r="G70" s="19" t="n">
        <v>40389.96</v>
      </c>
      <c r="H70" s="21" t="n">
        <v>0.5355</v>
      </c>
      <c r="I70" s="15" t="n">
        <v>0.4645</v>
      </c>
    </row>
    <row r="71">
      <c r="A71" s="13" t="inlineStr">
        <is>
          <t>MHC-06</t>
        </is>
      </c>
      <c r="B71" s="13" t="inlineStr">
        <is>
          <t>Red Rock Commons</t>
        </is>
      </c>
      <c r="C71" s="13" t="inlineStr">
        <is>
          <t>MHC</t>
        </is>
      </c>
      <c r="D71" s="14" t="n">
        <v>45566</v>
      </c>
      <c r="E71" s="19" t="n">
        <v>74463.78999999999</v>
      </c>
      <c r="F71" s="19" t="n">
        <v>35066.04</v>
      </c>
      <c r="G71" s="19" t="n">
        <v>39397.75</v>
      </c>
      <c r="H71" s="21" t="n">
        <v>0.5291</v>
      </c>
      <c r="I71" s="15" t="n">
        <v>0.4709</v>
      </c>
    </row>
    <row r="72">
      <c r="A72" s="13" t="inlineStr">
        <is>
          <t>MHC-06</t>
        </is>
      </c>
      <c r="B72" s="13" t="inlineStr">
        <is>
          <t>Red Rock Commons</t>
        </is>
      </c>
      <c r="C72" s="13" t="inlineStr">
        <is>
          <t>MHC</t>
        </is>
      </c>
      <c r="D72" s="14" t="n">
        <v>45597</v>
      </c>
      <c r="E72" s="19" t="n">
        <v>77376.58</v>
      </c>
      <c r="F72" s="19" t="n">
        <v>36423.37</v>
      </c>
      <c r="G72" s="19" t="n">
        <v>40953.21</v>
      </c>
      <c r="H72" s="21" t="n">
        <v>0.5293</v>
      </c>
      <c r="I72" s="15" t="n">
        <v>0.4707</v>
      </c>
    </row>
    <row r="73">
      <c r="A73" s="13" t="inlineStr">
        <is>
          <t>MHC-06</t>
        </is>
      </c>
      <c r="B73" s="13" t="inlineStr">
        <is>
          <t>Red Rock Commons</t>
        </is>
      </c>
      <c r="C73" s="13" t="inlineStr">
        <is>
          <t>MHC</t>
        </is>
      </c>
      <c r="D73" s="14" t="n">
        <v>45627</v>
      </c>
      <c r="E73" s="19" t="n">
        <v>73662.53999999999</v>
      </c>
      <c r="F73" s="19" t="n">
        <v>34178.14</v>
      </c>
      <c r="G73" s="19" t="n">
        <v>39484.4</v>
      </c>
      <c r="H73" s="21" t="n">
        <v>0.536</v>
      </c>
      <c r="I73" s="15" t="n">
        <v>0.464</v>
      </c>
    </row>
    <row r="74">
      <c r="A74" s="13" t="inlineStr">
        <is>
          <t>MHC-07</t>
        </is>
      </c>
      <c r="B74" s="13" t="inlineStr">
        <is>
          <t>Mesa Vista</t>
        </is>
      </c>
      <c r="C74" s="13" t="inlineStr">
        <is>
          <t>MHC</t>
        </is>
      </c>
      <c r="D74" s="14" t="n">
        <v>45292</v>
      </c>
      <c r="E74" s="19" t="n">
        <v>82109.89999999999</v>
      </c>
      <c r="F74" s="19" t="n">
        <v>37351.53</v>
      </c>
      <c r="G74" s="19" t="n">
        <v>44758.37</v>
      </c>
      <c r="H74" s="21" t="n">
        <v>0.5451</v>
      </c>
      <c r="I74" s="15" t="n">
        <v>0.4549</v>
      </c>
    </row>
    <row r="75">
      <c r="A75" s="13" t="inlineStr">
        <is>
          <t>MHC-07</t>
        </is>
      </c>
      <c r="B75" s="13" t="inlineStr">
        <is>
          <t>Mesa Vista</t>
        </is>
      </c>
      <c r="C75" s="13" t="inlineStr">
        <is>
          <t>MHC</t>
        </is>
      </c>
      <c r="D75" s="14" t="n">
        <v>45323</v>
      </c>
      <c r="E75" s="19" t="n">
        <v>80274.77</v>
      </c>
      <c r="F75" s="19" t="n">
        <v>37779.8</v>
      </c>
      <c r="G75" s="19" t="n">
        <v>42494.97</v>
      </c>
      <c r="H75" s="21" t="n">
        <v>0.5294</v>
      </c>
      <c r="I75" s="15" t="n">
        <v>0.4706</v>
      </c>
    </row>
    <row r="76">
      <c r="A76" s="13" t="inlineStr">
        <is>
          <t>MHC-07</t>
        </is>
      </c>
      <c r="B76" s="13" t="inlineStr">
        <is>
          <t>Mesa Vista</t>
        </is>
      </c>
      <c r="C76" s="13" t="inlineStr">
        <is>
          <t>MHC</t>
        </is>
      </c>
      <c r="D76" s="14" t="n">
        <v>45352</v>
      </c>
      <c r="E76" s="19" t="n">
        <v>81180.92999999999</v>
      </c>
      <c r="F76" s="19" t="n">
        <v>37794.72</v>
      </c>
      <c r="G76" s="19" t="n">
        <v>43386.21</v>
      </c>
      <c r="H76" s="21" t="n">
        <v>0.5344</v>
      </c>
      <c r="I76" s="15" t="n">
        <v>0.4656</v>
      </c>
    </row>
    <row r="77">
      <c r="A77" s="13" t="inlineStr">
        <is>
          <t>MHC-07</t>
        </is>
      </c>
      <c r="B77" s="13" t="inlineStr">
        <is>
          <t>Mesa Vista</t>
        </is>
      </c>
      <c r="C77" s="13" t="inlineStr">
        <is>
          <t>MHC</t>
        </is>
      </c>
      <c r="D77" s="14" t="n">
        <v>45383</v>
      </c>
      <c r="E77" s="19" t="n">
        <v>80564.81</v>
      </c>
      <c r="F77" s="19" t="n">
        <v>37446.35</v>
      </c>
      <c r="G77" s="19" t="n">
        <v>43118.46</v>
      </c>
      <c r="H77" s="21" t="n">
        <v>0.5352</v>
      </c>
      <c r="I77" s="15" t="n">
        <v>0.4648</v>
      </c>
    </row>
    <row r="78">
      <c r="A78" s="13" t="inlineStr">
        <is>
          <t>MHC-07</t>
        </is>
      </c>
      <c r="B78" s="13" t="inlineStr">
        <is>
          <t>Mesa Vista</t>
        </is>
      </c>
      <c r="C78" s="13" t="inlineStr">
        <is>
          <t>MHC</t>
        </is>
      </c>
      <c r="D78" s="14" t="n">
        <v>45413</v>
      </c>
      <c r="E78" s="19" t="n">
        <v>80952.82000000001</v>
      </c>
      <c r="F78" s="19" t="n">
        <v>38406.69</v>
      </c>
      <c r="G78" s="19" t="n">
        <v>42546.13</v>
      </c>
      <c r="H78" s="21" t="n">
        <v>0.5256</v>
      </c>
      <c r="I78" s="15" t="n">
        <v>0.4744</v>
      </c>
    </row>
    <row r="79">
      <c r="A79" s="13" t="inlineStr">
        <is>
          <t>MHC-07</t>
        </is>
      </c>
      <c r="B79" s="13" t="inlineStr">
        <is>
          <t>Mesa Vista</t>
        </is>
      </c>
      <c r="C79" s="13" t="inlineStr">
        <is>
          <t>MHC</t>
        </is>
      </c>
      <c r="D79" s="14" t="n">
        <v>45444</v>
      </c>
      <c r="E79" s="19" t="n">
        <v>80609.77</v>
      </c>
      <c r="F79" s="19" t="n">
        <v>38797.72</v>
      </c>
      <c r="G79" s="19" t="n">
        <v>41812.05</v>
      </c>
      <c r="H79" s="21" t="n">
        <v>0.5187</v>
      </c>
      <c r="I79" s="15" t="n">
        <v>0.4813</v>
      </c>
    </row>
    <row r="80">
      <c r="A80" s="13" t="inlineStr">
        <is>
          <t>MHC-07</t>
        </is>
      </c>
      <c r="B80" s="13" t="inlineStr">
        <is>
          <t>Mesa Vista</t>
        </is>
      </c>
      <c r="C80" s="13" t="inlineStr">
        <is>
          <t>MHC</t>
        </is>
      </c>
      <c r="D80" s="14" t="n">
        <v>45474</v>
      </c>
      <c r="E80" s="19" t="n">
        <v>79874.25999999999</v>
      </c>
      <c r="F80" s="19" t="n">
        <v>38885.78</v>
      </c>
      <c r="G80" s="19" t="n">
        <v>40988.48</v>
      </c>
      <c r="H80" s="21" t="n">
        <v>0.5132</v>
      </c>
      <c r="I80" s="15" t="n">
        <v>0.4868</v>
      </c>
    </row>
    <row r="81">
      <c r="A81" s="13" t="inlineStr">
        <is>
          <t>MHC-07</t>
        </is>
      </c>
      <c r="B81" s="13" t="inlineStr">
        <is>
          <t>Mesa Vista</t>
        </is>
      </c>
      <c r="C81" s="13" t="inlineStr">
        <is>
          <t>MHC</t>
        </is>
      </c>
      <c r="D81" s="14" t="n">
        <v>45505</v>
      </c>
      <c r="E81" s="19" t="n">
        <v>80193.37</v>
      </c>
      <c r="F81" s="19" t="n">
        <v>38299.25</v>
      </c>
      <c r="G81" s="19" t="n">
        <v>41894.12</v>
      </c>
      <c r="H81" s="21" t="n">
        <v>0.5224</v>
      </c>
      <c r="I81" s="15" t="n">
        <v>0.4776</v>
      </c>
    </row>
    <row r="82">
      <c r="A82" s="13" t="inlineStr">
        <is>
          <t>MHC-07</t>
        </is>
      </c>
      <c r="B82" s="13" t="inlineStr">
        <is>
          <t>Mesa Vista</t>
        </is>
      </c>
      <c r="C82" s="13" t="inlineStr">
        <is>
          <t>MHC</t>
        </is>
      </c>
      <c r="D82" s="14" t="n">
        <v>45536</v>
      </c>
      <c r="E82" s="19" t="n">
        <v>81505.94</v>
      </c>
      <c r="F82" s="19" t="n">
        <v>39335.47</v>
      </c>
      <c r="G82" s="19" t="n">
        <v>42170.47</v>
      </c>
      <c r="H82" s="21" t="n">
        <v>0.5174</v>
      </c>
      <c r="I82" s="15" t="n">
        <v>0.4826</v>
      </c>
    </row>
    <row r="83">
      <c r="A83" s="13" t="inlineStr">
        <is>
          <t>MHC-07</t>
        </is>
      </c>
      <c r="B83" s="13" t="inlineStr">
        <is>
          <t>Mesa Vista</t>
        </is>
      </c>
      <c r="C83" s="13" t="inlineStr">
        <is>
          <t>MHC</t>
        </is>
      </c>
      <c r="D83" s="14" t="n">
        <v>45566</v>
      </c>
      <c r="E83" s="19" t="n">
        <v>79674.82000000001</v>
      </c>
      <c r="F83" s="19" t="n">
        <v>39286.57</v>
      </c>
      <c r="G83" s="19" t="n">
        <v>40388.25</v>
      </c>
      <c r="H83" s="21" t="n">
        <v>0.5069</v>
      </c>
      <c r="I83" s="15" t="n">
        <v>0.4931</v>
      </c>
    </row>
    <row r="84">
      <c r="A84" s="13" t="inlineStr">
        <is>
          <t>MHC-07</t>
        </is>
      </c>
      <c r="B84" s="13" t="inlineStr">
        <is>
          <t>Mesa Vista</t>
        </is>
      </c>
      <c r="C84" s="13" t="inlineStr">
        <is>
          <t>MHC</t>
        </is>
      </c>
      <c r="D84" s="14" t="n">
        <v>45597</v>
      </c>
      <c r="E84" s="19" t="n">
        <v>77276.73</v>
      </c>
      <c r="F84" s="19" t="n">
        <v>37969.74</v>
      </c>
      <c r="G84" s="19" t="n">
        <v>39306.99</v>
      </c>
      <c r="H84" s="21" t="n">
        <v>0.5087</v>
      </c>
      <c r="I84" s="15" t="n">
        <v>0.4913</v>
      </c>
    </row>
    <row r="85">
      <c r="A85" s="13" t="inlineStr">
        <is>
          <t>MHC-07</t>
        </is>
      </c>
      <c r="B85" s="13" t="inlineStr">
        <is>
          <t>Mesa Vista</t>
        </is>
      </c>
      <c r="C85" s="13" t="inlineStr">
        <is>
          <t>MHC</t>
        </is>
      </c>
      <c r="D85" s="14" t="n">
        <v>45627</v>
      </c>
      <c r="E85" s="19" t="n">
        <v>77864.09</v>
      </c>
      <c r="F85" s="19" t="n">
        <v>38864.24</v>
      </c>
      <c r="G85" s="19" t="n">
        <v>38999.85</v>
      </c>
      <c r="H85" s="21" t="n">
        <v>0.5009</v>
      </c>
      <c r="I85" s="15" t="n">
        <v>0.4991</v>
      </c>
    </row>
    <row r="86">
      <c r="A86" s="13" t="inlineStr">
        <is>
          <t>STG-01</t>
        </is>
      </c>
      <c r="B86" s="13" t="inlineStr">
        <is>
          <t>ClearBox Storage</t>
        </is>
      </c>
      <c r="C86" s="13" t="inlineStr">
        <is>
          <t>Self-Storage</t>
        </is>
      </c>
      <c r="D86" s="14" t="n">
        <v>45292</v>
      </c>
      <c r="E86" s="19" t="n">
        <v>38103.59</v>
      </c>
      <c r="F86" s="19" t="n">
        <v>18036.39</v>
      </c>
      <c r="G86" s="19" t="n">
        <v>20067.2</v>
      </c>
      <c r="H86" s="21" t="n">
        <v>0.5266</v>
      </c>
      <c r="I86" s="15" t="n">
        <v>0.4734</v>
      </c>
    </row>
    <row r="87">
      <c r="A87" s="13" t="inlineStr">
        <is>
          <t>STG-01</t>
        </is>
      </c>
      <c r="B87" s="13" t="inlineStr">
        <is>
          <t>ClearBox Storage</t>
        </is>
      </c>
      <c r="C87" s="13" t="inlineStr">
        <is>
          <t>Self-Storage</t>
        </is>
      </c>
      <c r="D87" s="14" t="n">
        <v>45323</v>
      </c>
      <c r="E87" s="19" t="n">
        <v>38422.5</v>
      </c>
      <c r="F87" s="19" t="n">
        <v>18341.5</v>
      </c>
      <c r="G87" s="19" t="n">
        <v>20081</v>
      </c>
      <c r="H87" s="21" t="n">
        <v>0.5226</v>
      </c>
      <c r="I87" s="15" t="n">
        <v>0.4774</v>
      </c>
    </row>
    <row r="88">
      <c r="A88" s="13" t="inlineStr">
        <is>
          <t>STG-01</t>
        </is>
      </c>
      <c r="B88" s="13" t="inlineStr">
        <is>
          <t>ClearBox Storage</t>
        </is>
      </c>
      <c r="C88" s="13" t="inlineStr">
        <is>
          <t>Self-Storage</t>
        </is>
      </c>
      <c r="D88" s="14" t="n">
        <v>45352</v>
      </c>
      <c r="E88" s="19" t="n">
        <v>38663.36</v>
      </c>
      <c r="F88" s="19" t="n">
        <v>18896.24</v>
      </c>
      <c r="G88" s="19" t="n">
        <v>19767.12</v>
      </c>
      <c r="H88" s="21" t="n">
        <v>0.5113</v>
      </c>
      <c r="I88" s="15" t="n">
        <v>0.4887</v>
      </c>
    </row>
    <row r="89">
      <c r="A89" s="13" t="inlineStr">
        <is>
          <t>STG-01</t>
        </is>
      </c>
      <c r="B89" s="13" t="inlineStr">
        <is>
          <t>ClearBox Storage</t>
        </is>
      </c>
      <c r="C89" s="13" t="inlineStr">
        <is>
          <t>Self-Storage</t>
        </is>
      </c>
      <c r="D89" s="14" t="n">
        <v>45383</v>
      </c>
      <c r="E89" s="19" t="n">
        <v>38308.14</v>
      </c>
      <c r="F89" s="19" t="n">
        <v>18799.69</v>
      </c>
      <c r="G89" s="19" t="n">
        <v>19508.45</v>
      </c>
      <c r="H89" s="21" t="n">
        <v>0.5093</v>
      </c>
      <c r="I89" s="15" t="n">
        <v>0.4907</v>
      </c>
    </row>
    <row r="90">
      <c r="A90" s="13" t="inlineStr">
        <is>
          <t>STG-01</t>
        </is>
      </c>
      <c r="B90" s="13" t="inlineStr">
        <is>
          <t>ClearBox Storage</t>
        </is>
      </c>
      <c r="C90" s="13" t="inlineStr">
        <is>
          <t>Self-Storage</t>
        </is>
      </c>
      <c r="D90" s="14" t="n">
        <v>45413</v>
      </c>
      <c r="E90" s="19" t="n">
        <v>38137.84</v>
      </c>
      <c r="F90" s="19" t="n">
        <v>19009.03</v>
      </c>
      <c r="G90" s="19" t="n">
        <v>19128.81</v>
      </c>
      <c r="H90" s="21" t="n">
        <v>0.5016</v>
      </c>
      <c r="I90" s="15" t="n">
        <v>0.4984</v>
      </c>
    </row>
    <row r="91">
      <c r="A91" s="13" t="inlineStr">
        <is>
          <t>STG-01</t>
        </is>
      </c>
      <c r="B91" s="13" t="inlineStr">
        <is>
          <t>ClearBox Storage</t>
        </is>
      </c>
      <c r="C91" s="13" t="inlineStr">
        <is>
          <t>Self-Storage</t>
        </is>
      </c>
      <c r="D91" s="14" t="n">
        <v>45444</v>
      </c>
      <c r="E91" s="19" t="n">
        <v>38209.07</v>
      </c>
      <c r="F91" s="19" t="n">
        <v>19303.87</v>
      </c>
      <c r="G91" s="19" t="n">
        <v>18905.2</v>
      </c>
      <c r="H91" s="21" t="n">
        <v>0.4948</v>
      </c>
      <c r="I91" s="15" t="n">
        <v>0.5052</v>
      </c>
    </row>
    <row r="92">
      <c r="A92" s="13" t="inlineStr">
        <is>
          <t>STG-01</t>
        </is>
      </c>
      <c r="B92" s="13" t="inlineStr">
        <is>
          <t>ClearBox Storage</t>
        </is>
      </c>
      <c r="C92" s="13" t="inlineStr">
        <is>
          <t>Self-Storage</t>
        </is>
      </c>
      <c r="D92" s="14" t="n">
        <v>45474</v>
      </c>
      <c r="E92" s="19" t="n">
        <v>38454.64</v>
      </c>
      <c r="F92" s="19" t="n">
        <v>19312.72</v>
      </c>
      <c r="G92" s="19" t="n">
        <v>19141.92</v>
      </c>
      <c r="H92" s="21" t="n">
        <v>0.4978</v>
      </c>
      <c r="I92" s="15" t="n">
        <v>0.5022</v>
      </c>
    </row>
    <row r="93">
      <c r="A93" s="13" t="inlineStr">
        <is>
          <t>STG-01</t>
        </is>
      </c>
      <c r="B93" s="13" t="inlineStr">
        <is>
          <t>ClearBox Storage</t>
        </is>
      </c>
      <c r="C93" s="13" t="inlineStr">
        <is>
          <t>Self-Storage</t>
        </is>
      </c>
      <c r="D93" s="14" t="n">
        <v>45505</v>
      </c>
      <c r="E93" s="19" t="n">
        <v>38755.99</v>
      </c>
      <c r="F93" s="19" t="n">
        <v>19499.17</v>
      </c>
      <c r="G93" s="19" t="n">
        <v>19256.82</v>
      </c>
      <c r="H93" s="21" t="n">
        <v>0.4969</v>
      </c>
      <c r="I93" s="15" t="n">
        <v>0.5031</v>
      </c>
    </row>
    <row r="94">
      <c r="A94" s="13" t="inlineStr">
        <is>
          <t>STG-01</t>
        </is>
      </c>
      <c r="B94" s="13" t="inlineStr">
        <is>
          <t>ClearBox Storage</t>
        </is>
      </c>
      <c r="C94" s="13" t="inlineStr">
        <is>
          <t>Self-Storage</t>
        </is>
      </c>
      <c r="D94" s="14" t="n">
        <v>45536</v>
      </c>
      <c r="E94" s="19" t="n">
        <v>38917.16</v>
      </c>
      <c r="F94" s="19" t="n">
        <v>20196.16</v>
      </c>
      <c r="G94" s="19" t="n">
        <v>18721</v>
      </c>
      <c r="H94" s="21" t="n">
        <v>0.481</v>
      </c>
      <c r="I94" s="15" t="n">
        <v>0.519</v>
      </c>
    </row>
    <row r="95">
      <c r="A95" s="13" t="inlineStr">
        <is>
          <t>STG-01</t>
        </is>
      </c>
      <c r="B95" s="13" t="inlineStr">
        <is>
          <t>ClearBox Storage</t>
        </is>
      </c>
      <c r="C95" s="13" t="inlineStr">
        <is>
          <t>Self-Storage</t>
        </is>
      </c>
      <c r="D95" s="14" t="n">
        <v>45566</v>
      </c>
      <c r="E95" s="19" t="n">
        <v>38429.47</v>
      </c>
      <c r="F95" s="19" t="n">
        <v>20045.81</v>
      </c>
      <c r="G95" s="19" t="n">
        <v>18383.66</v>
      </c>
      <c r="H95" s="21" t="n">
        <v>0.4784</v>
      </c>
      <c r="I95" s="15" t="n">
        <v>0.5216</v>
      </c>
    </row>
    <row r="96">
      <c r="A96" s="13" t="inlineStr">
        <is>
          <t>STG-01</t>
        </is>
      </c>
      <c r="B96" s="13" t="inlineStr">
        <is>
          <t>ClearBox Storage</t>
        </is>
      </c>
      <c r="C96" s="13" t="inlineStr">
        <is>
          <t>Self-Storage</t>
        </is>
      </c>
      <c r="D96" s="14" t="n">
        <v>45597</v>
      </c>
      <c r="E96" s="19" t="n">
        <v>38606.42</v>
      </c>
      <c r="F96" s="19" t="n">
        <v>19924.59</v>
      </c>
      <c r="G96" s="19" t="n">
        <v>18681.83</v>
      </c>
      <c r="H96" s="21" t="n">
        <v>0.4839</v>
      </c>
      <c r="I96" s="15" t="n">
        <v>0.5161</v>
      </c>
    </row>
    <row r="97">
      <c r="A97" s="13" t="inlineStr">
        <is>
          <t>STG-01</t>
        </is>
      </c>
      <c r="B97" s="13" t="inlineStr">
        <is>
          <t>ClearBox Storage</t>
        </is>
      </c>
      <c r="C97" s="13" t="inlineStr">
        <is>
          <t>Self-Storage</t>
        </is>
      </c>
      <c r="D97" s="14" t="n">
        <v>45627</v>
      </c>
      <c r="E97" s="19" t="n">
        <v>38746.65</v>
      </c>
      <c r="F97" s="19" t="n">
        <v>20358.82</v>
      </c>
      <c r="G97" s="19" t="n">
        <v>18387.83</v>
      </c>
      <c r="H97" s="21" t="n">
        <v>0.4746</v>
      </c>
      <c r="I97" s="15" t="n">
        <v>0.5254</v>
      </c>
    </row>
    <row r="98">
      <c r="A98" s="13" t="inlineStr">
        <is>
          <t>STG-02</t>
        </is>
      </c>
      <c r="B98" s="13" t="inlineStr">
        <is>
          <t>SunState Storage</t>
        </is>
      </c>
      <c r="C98" s="13" t="inlineStr">
        <is>
          <t>Self-Storage</t>
        </is>
      </c>
      <c r="D98" s="14" t="n">
        <v>45292</v>
      </c>
      <c r="E98" s="19" t="n">
        <v>35711.61</v>
      </c>
      <c r="F98" s="19" t="n">
        <v>18241.6</v>
      </c>
      <c r="G98" s="19" t="n">
        <v>17470.01</v>
      </c>
      <c r="H98" s="21" t="n">
        <v>0.4892</v>
      </c>
      <c r="I98" s="15" t="n">
        <v>0.5108</v>
      </c>
    </row>
    <row r="99">
      <c r="A99" s="13" t="inlineStr">
        <is>
          <t>STG-02</t>
        </is>
      </c>
      <c r="B99" s="13" t="inlineStr">
        <is>
          <t>SunState Storage</t>
        </is>
      </c>
      <c r="C99" s="13" t="inlineStr">
        <is>
          <t>Self-Storage</t>
        </is>
      </c>
      <c r="D99" s="14" t="n">
        <v>45323</v>
      </c>
      <c r="E99" s="19" t="n">
        <v>35512.31</v>
      </c>
      <c r="F99" s="19" t="n">
        <v>18146.4</v>
      </c>
      <c r="G99" s="19" t="n">
        <v>17365.91</v>
      </c>
      <c r="H99" s="21" t="n">
        <v>0.489</v>
      </c>
      <c r="I99" s="15" t="n">
        <v>0.511</v>
      </c>
    </row>
    <row r="100">
      <c r="A100" s="13" t="inlineStr">
        <is>
          <t>STG-02</t>
        </is>
      </c>
      <c r="B100" s="13" t="inlineStr">
        <is>
          <t>SunState Storage</t>
        </is>
      </c>
      <c r="C100" s="13" t="inlineStr">
        <is>
          <t>Self-Storage</t>
        </is>
      </c>
      <c r="D100" s="14" t="n">
        <v>45352</v>
      </c>
      <c r="E100" s="19" t="n">
        <v>35866.79</v>
      </c>
      <c r="F100" s="19" t="n">
        <v>18896.62</v>
      </c>
      <c r="G100" s="19" t="n">
        <v>16970.17</v>
      </c>
      <c r="H100" s="21" t="n">
        <v>0.4731</v>
      </c>
      <c r="I100" s="15" t="n">
        <v>0.5269</v>
      </c>
    </row>
    <row r="101">
      <c r="A101" s="13" t="inlineStr">
        <is>
          <t>STG-02</t>
        </is>
      </c>
      <c r="B101" s="13" t="inlineStr">
        <is>
          <t>SunState Storage</t>
        </is>
      </c>
      <c r="C101" s="13" t="inlineStr">
        <is>
          <t>Self-Storage</t>
        </is>
      </c>
      <c r="D101" s="14" t="n">
        <v>45383</v>
      </c>
      <c r="E101" s="19" t="n">
        <v>34939.97</v>
      </c>
      <c r="F101" s="19" t="n">
        <v>18421.85</v>
      </c>
      <c r="G101" s="19" t="n">
        <v>16518.12</v>
      </c>
      <c r="H101" s="21" t="n">
        <v>0.4728</v>
      </c>
      <c r="I101" s="15" t="n">
        <v>0.5272</v>
      </c>
    </row>
    <row r="102">
      <c r="A102" s="13" t="inlineStr">
        <is>
          <t>STG-02</t>
        </is>
      </c>
      <c r="B102" s="13" t="inlineStr">
        <is>
          <t>SunState Storage</t>
        </is>
      </c>
      <c r="C102" s="13" t="inlineStr">
        <is>
          <t>Self-Storage</t>
        </is>
      </c>
      <c r="D102" s="14" t="n">
        <v>45413</v>
      </c>
      <c r="E102" s="19" t="n">
        <v>35164.99</v>
      </c>
      <c r="F102" s="19" t="n">
        <v>18770.02</v>
      </c>
      <c r="G102" s="19" t="n">
        <v>16394.97</v>
      </c>
      <c r="H102" s="21" t="n">
        <v>0.4662</v>
      </c>
      <c r="I102" s="15" t="n">
        <v>0.5338000000000001</v>
      </c>
    </row>
    <row r="103">
      <c r="A103" s="13" t="inlineStr">
        <is>
          <t>STG-02</t>
        </is>
      </c>
      <c r="B103" s="13" t="inlineStr">
        <is>
          <t>SunState Storage</t>
        </is>
      </c>
      <c r="C103" s="13" t="inlineStr">
        <is>
          <t>Self-Storage</t>
        </is>
      </c>
      <c r="D103" s="14" t="n">
        <v>45444</v>
      </c>
      <c r="E103" s="19" t="n">
        <v>35431.12</v>
      </c>
      <c r="F103" s="19" t="n">
        <v>19140.64</v>
      </c>
      <c r="G103" s="19" t="n">
        <v>16290.48</v>
      </c>
      <c r="H103" s="21" t="n">
        <v>0.4598</v>
      </c>
      <c r="I103" s="15" t="n">
        <v>0.5402</v>
      </c>
    </row>
    <row r="104">
      <c r="A104" s="13" t="inlineStr">
        <is>
          <t>STG-02</t>
        </is>
      </c>
      <c r="B104" s="13" t="inlineStr">
        <is>
          <t>SunState Storage</t>
        </is>
      </c>
      <c r="C104" s="13" t="inlineStr">
        <is>
          <t>Self-Storage</t>
        </is>
      </c>
      <c r="D104" s="14" t="n">
        <v>45474</v>
      </c>
      <c r="E104" s="19" t="n">
        <v>35654.22</v>
      </c>
      <c r="F104" s="19" t="n">
        <v>19604.95</v>
      </c>
      <c r="G104" s="19" t="n">
        <v>16049.27</v>
      </c>
      <c r="H104" s="21" t="n">
        <v>0.4501</v>
      </c>
      <c r="I104" s="15" t="n">
        <v>0.5499000000000001</v>
      </c>
    </row>
    <row r="105">
      <c r="A105" s="13" t="inlineStr">
        <is>
          <t>STG-02</t>
        </is>
      </c>
      <c r="B105" s="13" t="inlineStr">
        <is>
          <t>SunState Storage</t>
        </is>
      </c>
      <c r="C105" s="13" t="inlineStr">
        <is>
          <t>Self-Storage</t>
        </is>
      </c>
      <c r="D105" s="14" t="n">
        <v>45505</v>
      </c>
      <c r="E105" s="19" t="n">
        <v>35527.53</v>
      </c>
      <c r="F105" s="19" t="n">
        <v>19955.11</v>
      </c>
      <c r="G105" s="19" t="n">
        <v>15572.42</v>
      </c>
      <c r="H105" s="22" t="n">
        <v>0.4383</v>
      </c>
      <c r="I105" s="15" t="n">
        <v>0.5617</v>
      </c>
    </row>
    <row r="106">
      <c r="A106" s="13" t="inlineStr">
        <is>
          <t>STG-02</t>
        </is>
      </c>
      <c r="B106" s="13" t="inlineStr">
        <is>
          <t>SunState Storage</t>
        </is>
      </c>
      <c r="C106" s="13" t="inlineStr">
        <is>
          <t>Self-Storage</t>
        </is>
      </c>
      <c r="D106" s="14" t="n">
        <v>45536</v>
      </c>
      <c r="E106" s="19" t="n">
        <v>35694.66</v>
      </c>
      <c r="F106" s="19" t="n">
        <v>19936.06</v>
      </c>
      <c r="G106" s="19" t="n">
        <v>15758.6</v>
      </c>
      <c r="H106" s="22" t="n">
        <v>0.4415</v>
      </c>
      <c r="I106" s="15" t="n">
        <v>0.5585</v>
      </c>
    </row>
    <row r="107">
      <c r="A107" s="13" t="inlineStr">
        <is>
          <t>STG-02</t>
        </is>
      </c>
      <c r="B107" s="13" t="inlineStr">
        <is>
          <t>SunState Storage</t>
        </is>
      </c>
      <c r="C107" s="13" t="inlineStr">
        <is>
          <t>Self-Storage</t>
        </is>
      </c>
      <c r="D107" s="14" t="n">
        <v>45566</v>
      </c>
      <c r="E107" s="19" t="n">
        <v>34529.65</v>
      </c>
      <c r="F107" s="19" t="n">
        <v>19485.35</v>
      </c>
      <c r="G107" s="19" t="n">
        <v>15044.3</v>
      </c>
      <c r="H107" s="22" t="n">
        <v>0.4357</v>
      </c>
      <c r="I107" s="15" t="n">
        <v>0.5643</v>
      </c>
    </row>
    <row r="108">
      <c r="A108" s="13" t="inlineStr">
        <is>
          <t>STG-02</t>
        </is>
      </c>
      <c r="B108" s="13" t="inlineStr">
        <is>
          <t>SunState Storage</t>
        </is>
      </c>
      <c r="C108" s="13" t="inlineStr">
        <is>
          <t>Self-Storage</t>
        </is>
      </c>
      <c r="D108" s="14" t="n">
        <v>45597</v>
      </c>
      <c r="E108" s="19" t="n">
        <v>35248</v>
      </c>
      <c r="F108" s="19" t="n">
        <v>20468.7</v>
      </c>
      <c r="G108" s="19" t="n">
        <v>14779.3</v>
      </c>
      <c r="H108" s="22" t="n">
        <v>0.4193</v>
      </c>
      <c r="I108" s="15" t="n">
        <v>0.5807</v>
      </c>
    </row>
    <row r="109">
      <c r="A109" s="13" t="inlineStr">
        <is>
          <t>STG-02</t>
        </is>
      </c>
      <c r="B109" s="13" t="inlineStr">
        <is>
          <t>SunState Storage</t>
        </is>
      </c>
      <c r="C109" s="13" t="inlineStr">
        <is>
          <t>Self-Storage</t>
        </is>
      </c>
      <c r="D109" s="14" t="n">
        <v>45627</v>
      </c>
      <c r="E109" s="19" t="n">
        <v>35318.32</v>
      </c>
      <c r="F109" s="19" t="n">
        <v>20427.42</v>
      </c>
      <c r="G109" s="19" t="n">
        <v>14890.9</v>
      </c>
      <c r="H109" s="22" t="n">
        <v>0.4216</v>
      </c>
      <c r="I109" s="15" t="n">
        <v>0.5784</v>
      </c>
    </row>
    <row r="110">
      <c r="A110" s="13" t="inlineStr">
        <is>
          <t>STG-03</t>
        </is>
      </c>
      <c r="B110" s="13" t="inlineStr">
        <is>
          <t>Desert Vault</t>
        </is>
      </c>
      <c r="C110" s="13" t="inlineStr">
        <is>
          <t>Self-Storage</t>
        </is>
      </c>
      <c r="D110" s="14" t="n">
        <v>45292</v>
      </c>
      <c r="E110" s="19" t="n">
        <v>19725.14</v>
      </c>
      <c r="F110" s="19" t="n">
        <v>12247.79</v>
      </c>
      <c r="G110" s="19" t="n">
        <v>7477.35</v>
      </c>
      <c r="H110" s="22" t="n">
        <v>0.3791</v>
      </c>
      <c r="I110" s="15" t="n">
        <v>0.6209</v>
      </c>
    </row>
    <row r="111">
      <c r="A111" s="13" t="inlineStr">
        <is>
          <t>STG-03</t>
        </is>
      </c>
      <c r="B111" s="13" t="inlineStr">
        <is>
          <t>Desert Vault</t>
        </is>
      </c>
      <c r="C111" s="13" t="inlineStr">
        <is>
          <t>Self-Storage</t>
        </is>
      </c>
      <c r="D111" s="14" t="n">
        <v>45323</v>
      </c>
      <c r="E111" s="19" t="n">
        <v>19327.12</v>
      </c>
      <c r="F111" s="19" t="n">
        <v>11980.21</v>
      </c>
      <c r="G111" s="19" t="n">
        <v>7346.91</v>
      </c>
      <c r="H111" s="22" t="n">
        <v>0.3801</v>
      </c>
      <c r="I111" s="15" t="n">
        <v>0.6199</v>
      </c>
    </row>
    <row r="112">
      <c r="A112" s="13" t="inlineStr">
        <is>
          <t>STG-03</t>
        </is>
      </c>
      <c r="B112" s="13" t="inlineStr">
        <is>
          <t>Desert Vault</t>
        </is>
      </c>
      <c r="C112" s="13" t="inlineStr">
        <is>
          <t>Self-Storage</t>
        </is>
      </c>
      <c r="D112" s="14" t="n">
        <v>45352</v>
      </c>
      <c r="E112" s="19" t="n">
        <v>19238.53</v>
      </c>
      <c r="F112" s="19" t="n">
        <v>12113.08</v>
      </c>
      <c r="G112" s="19" t="n">
        <v>7125.45</v>
      </c>
      <c r="H112" s="22" t="n">
        <v>0.3704</v>
      </c>
      <c r="I112" s="15" t="n">
        <v>0.6296</v>
      </c>
    </row>
    <row r="113">
      <c r="A113" s="13" t="inlineStr">
        <is>
          <t>STG-03</t>
        </is>
      </c>
      <c r="B113" s="13" t="inlineStr">
        <is>
          <t>Desert Vault</t>
        </is>
      </c>
      <c r="C113" s="13" t="inlineStr">
        <is>
          <t>Self-Storage</t>
        </is>
      </c>
      <c r="D113" s="14" t="n">
        <v>45383</v>
      </c>
      <c r="E113" s="19" t="n">
        <v>19370.71</v>
      </c>
      <c r="F113" s="19" t="n">
        <v>12263.33</v>
      </c>
      <c r="G113" s="19" t="n">
        <v>7107.38</v>
      </c>
      <c r="H113" s="22" t="n">
        <v>0.3669</v>
      </c>
      <c r="I113" s="15" t="n">
        <v>0.6331</v>
      </c>
    </row>
    <row r="114">
      <c r="A114" s="13" t="inlineStr">
        <is>
          <t>STG-03</t>
        </is>
      </c>
      <c r="B114" s="13" t="inlineStr">
        <is>
          <t>Desert Vault</t>
        </is>
      </c>
      <c r="C114" s="13" t="inlineStr">
        <is>
          <t>Self-Storage</t>
        </is>
      </c>
      <c r="D114" s="14" t="n">
        <v>45413</v>
      </c>
      <c r="E114" s="19" t="n">
        <v>19595.23</v>
      </c>
      <c r="F114" s="19" t="n">
        <v>12539.08</v>
      </c>
      <c r="G114" s="19" t="n">
        <v>7056.15</v>
      </c>
      <c r="H114" s="22" t="n">
        <v>0.3601</v>
      </c>
      <c r="I114" s="15" t="n">
        <v>0.6399</v>
      </c>
    </row>
    <row r="115">
      <c r="A115" s="13" t="inlineStr">
        <is>
          <t>STG-03</t>
        </is>
      </c>
      <c r="B115" s="13" t="inlineStr">
        <is>
          <t>Desert Vault</t>
        </is>
      </c>
      <c r="C115" s="13" t="inlineStr">
        <is>
          <t>Self-Storage</t>
        </is>
      </c>
      <c r="D115" s="14" t="n">
        <v>45444</v>
      </c>
      <c r="E115" s="19" t="n">
        <v>19145.93</v>
      </c>
      <c r="F115" s="19" t="n">
        <v>12380.15</v>
      </c>
      <c r="G115" s="19" t="n">
        <v>6765.78</v>
      </c>
      <c r="H115" s="22" t="n">
        <v>0.3534</v>
      </c>
      <c r="I115" s="15" t="n">
        <v>0.6466</v>
      </c>
    </row>
    <row r="116">
      <c r="A116" s="13" t="inlineStr">
        <is>
          <t>STG-03</t>
        </is>
      </c>
      <c r="B116" s="13" t="inlineStr">
        <is>
          <t>Desert Vault</t>
        </is>
      </c>
      <c r="C116" s="13" t="inlineStr">
        <is>
          <t>Self-Storage</t>
        </is>
      </c>
      <c r="D116" s="14" t="n">
        <v>45474</v>
      </c>
      <c r="E116" s="19" t="n">
        <v>19048.57</v>
      </c>
      <c r="F116" s="19" t="n">
        <v>12480.1</v>
      </c>
      <c r="G116" s="19" t="n">
        <v>6568.47</v>
      </c>
      <c r="H116" s="23" t="n">
        <v>0.3448</v>
      </c>
      <c r="I116" s="15" t="n">
        <v>0.6552</v>
      </c>
    </row>
    <row r="117">
      <c r="A117" s="13" t="inlineStr">
        <is>
          <t>STG-03</t>
        </is>
      </c>
      <c r="B117" s="13" t="inlineStr">
        <is>
          <t>Desert Vault</t>
        </is>
      </c>
      <c r="C117" s="13" t="inlineStr">
        <is>
          <t>Self-Storage</t>
        </is>
      </c>
      <c r="D117" s="14" t="n">
        <v>45505</v>
      </c>
      <c r="E117" s="19" t="n">
        <v>19060.62</v>
      </c>
      <c r="F117" s="19" t="n">
        <v>12504.95</v>
      </c>
      <c r="G117" s="19" t="n">
        <v>6555.67</v>
      </c>
      <c r="H117" s="23" t="n">
        <v>0.3439</v>
      </c>
      <c r="I117" s="15" t="n">
        <v>0.6561</v>
      </c>
    </row>
    <row r="118">
      <c r="A118" s="13" t="inlineStr">
        <is>
          <t>STG-03</t>
        </is>
      </c>
      <c r="B118" s="13" t="inlineStr">
        <is>
          <t>Desert Vault</t>
        </is>
      </c>
      <c r="C118" s="13" t="inlineStr">
        <is>
          <t>Self-Storage</t>
        </is>
      </c>
      <c r="D118" s="14" t="n">
        <v>45536</v>
      </c>
      <c r="E118" s="19" t="n">
        <v>19302.79</v>
      </c>
      <c r="F118" s="19" t="n">
        <v>12627.47</v>
      </c>
      <c r="G118" s="19" t="n">
        <v>6675.32</v>
      </c>
      <c r="H118" s="23" t="n">
        <v>0.3458</v>
      </c>
      <c r="I118" s="15" t="n">
        <v>0.6542</v>
      </c>
    </row>
    <row r="119">
      <c r="A119" s="13" t="inlineStr">
        <is>
          <t>STG-03</t>
        </is>
      </c>
      <c r="B119" s="13" t="inlineStr">
        <is>
          <t>Desert Vault</t>
        </is>
      </c>
      <c r="C119" s="13" t="inlineStr">
        <is>
          <t>Self-Storage</t>
        </is>
      </c>
      <c r="D119" s="14" t="n">
        <v>45566</v>
      </c>
      <c r="E119" s="19" t="n">
        <v>19580.02</v>
      </c>
      <c r="F119" s="19" t="n">
        <v>12958.15</v>
      </c>
      <c r="G119" s="19" t="n">
        <v>6621.87</v>
      </c>
      <c r="H119" s="23" t="n">
        <v>0.3382</v>
      </c>
      <c r="I119" s="15" t="n">
        <v>0.6618000000000001</v>
      </c>
    </row>
    <row r="120">
      <c r="A120" s="13" t="inlineStr">
        <is>
          <t>STG-03</t>
        </is>
      </c>
      <c r="B120" s="13" t="inlineStr">
        <is>
          <t>Desert Vault</t>
        </is>
      </c>
      <c r="C120" s="13" t="inlineStr">
        <is>
          <t>Self-Storage</t>
        </is>
      </c>
      <c r="D120" s="14" t="n">
        <v>45597</v>
      </c>
      <c r="E120" s="19" t="n">
        <v>19493.09</v>
      </c>
      <c r="F120" s="19" t="n">
        <v>12973.65</v>
      </c>
      <c r="G120" s="19" t="n">
        <v>6519.44</v>
      </c>
      <c r="H120" s="23" t="n">
        <v>0.3344</v>
      </c>
      <c r="I120" s="15" t="n">
        <v>0.6656</v>
      </c>
    </row>
    <row r="121">
      <c r="A121" s="13" t="inlineStr">
        <is>
          <t>STG-03</t>
        </is>
      </c>
      <c r="B121" s="13" t="inlineStr">
        <is>
          <t>Desert Vault</t>
        </is>
      </c>
      <c r="C121" s="13" t="inlineStr">
        <is>
          <t>Self-Storage</t>
        </is>
      </c>
      <c r="D121" s="14" t="n">
        <v>45627</v>
      </c>
      <c r="E121" s="19" t="n">
        <v>19618.74</v>
      </c>
      <c r="F121" s="19" t="n">
        <v>13227.61</v>
      </c>
      <c r="G121" s="19" t="n">
        <v>6391.13</v>
      </c>
      <c r="H121" s="23" t="n">
        <v>0.3258</v>
      </c>
      <c r="I121" s="15" t="n">
        <v>0.6742</v>
      </c>
    </row>
    <row r="122">
      <c r="A122" s="13" t="inlineStr">
        <is>
          <t>STG-04</t>
        </is>
      </c>
      <c r="B122" s="13" t="inlineStr">
        <is>
          <t>Basin Self Storage</t>
        </is>
      </c>
      <c r="C122" s="13" t="inlineStr">
        <is>
          <t>Self-Storage</t>
        </is>
      </c>
      <c r="D122" s="14" t="n">
        <v>45292</v>
      </c>
      <c r="E122" s="19" t="n">
        <v>15889.21</v>
      </c>
      <c r="F122" s="19" t="n">
        <v>8980.969999999999</v>
      </c>
      <c r="G122" s="19" t="n">
        <v>6908.24</v>
      </c>
      <c r="H122" s="22" t="n">
        <v>0.4348</v>
      </c>
      <c r="I122" s="15" t="n">
        <v>0.5652</v>
      </c>
    </row>
    <row r="123">
      <c r="A123" s="13" t="inlineStr">
        <is>
          <t>STG-04</t>
        </is>
      </c>
      <c r="B123" s="13" t="inlineStr">
        <is>
          <t>Basin Self Storage</t>
        </is>
      </c>
      <c r="C123" s="13" t="inlineStr">
        <is>
          <t>Self-Storage</t>
        </is>
      </c>
      <c r="D123" s="14" t="n">
        <v>45323</v>
      </c>
      <c r="E123" s="19" t="n">
        <v>16430.71</v>
      </c>
      <c r="F123" s="19" t="n">
        <v>9358.700000000001</v>
      </c>
      <c r="G123" s="19" t="n">
        <v>7072.01</v>
      </c>
      <c r="H123" s="22" t="n">
        <v>0.4304</v>
      </c>
      <c r="I123" s="15" t="n">
        <v>0.5696</v>
      </c>
    </row>
    <row r="124">
      <c r="A124" s="13" t="inlineStr">
        <is>
          <t>STG-04</t>
        </is>
      </c>
      <c r="B124" s="13" t="inlineStr">
        <is>
          <t>Basin Self Storage</t>
        </is>
      </c>
      <c r="C124" s="13" t="inlineStr">
        <is>
          <t>Self-Storage</t>
        </is>
      </c>
      <c r="D124" s="14" t="n">
        <v>45352</v>
      </c>
      <c r="E124" s="19" t="n">
        <v>16977.79</v>
      </c>
      <c r="F124" s="19" t="n">
        <v>9577.790000000001</v>
      </c>
      <c r="G124" s="19" t="n">
        <v>7400</v>
      </c>
      <c r="H124" s="22" t="n">
        <v>0.4359</v>
      </c>
      <c r="I124" s="15" t="n">
        <v>0.5641</v>
      </c>
    </row>
    <row r="125">
      <c r="A125" s="13" t="inlineStr">
        <is>
          <t>STG-04</t>
        </is>
      </c>
      <c r="B125" s="13" t="inlineStr">
        <is>
          <t>Basin Self Storage</t>
        </is>
      </c>
      <c r="C125" s="13" t="inlineStr">
        <is>
          <t>Self-Storage</t>
        </is>
      </c>
      <c r="D125" s="14" t="n">
        <v>45383</v>
      </c>
      <c r="E125" s="19" t="n">
        <v>16978.39</v>
      </c>
      <c r="F125" s="19" t="n">
        <v>9576.219999999999</v>
      </c>
      <c r="G125" s="19" t="n">
        <v>7402.17</v>
      </c>
      <c r="H125" s="22" t="n">
        <v>0.436</v>
      </c>
      <c r="I125" s="15" t="n">
        <v>0.5639999999999999</v>
      </c>
    </row>
    <row r="126">
      <c r="A126" s="13" t="inlineStr">
        <is>
          <t>STG-04</t>
        </is>
      </c>
      <c r="B126" s="13" t="inlineStr">
        <is>
          <t>Basin Self Storage</t>
        </is>
      </c>
      <c r="C126" s="13" t="inlineStr">
        <is>
          <t>Self-Storage</t>
        </is>
      </c>
      <c r="D126" s="14" t="n">
        <v>45413</v>
      </c>
      <c r="E126" s="19" t="n">
        <v>17245.74</v>
      </c>
      <c r="F126" s="19" t="n">
        <v>10143.6</v>
      </c>
      <c r="G126" s="19" t="n">
        <v>7102.14</v>
      </c>
      <c r="H126" s="22" t="n">
        <v>0.4118</v>
      </c>
      <c r="I126" s="15" t="n">
        <v>0.5881999999999999</v>
      </c>
    </row>
    <row r="127">
      <c r="A127" s="13" t="inlineStr">
        <is>
          <t>STG-04</t>
        </is>
      </c>
      <c r="B127" s="13" t="inlineStr">
        <is>
          <t>Basin Self Storage</t>
        </is>
      </c>
      <c r="C127" s="13" t="inlineStr">
        <is>
          <t>Self-Storage</t>
        </is>
      </c>
      <c r="D127" s="14" t="n">
        <v>45444</v>
      </c>
      <c r="E127" s="19" t="n">
        <v>17672.22</v>
      </c>
      <c r="F127" s="19" t="n">
        <v>10351.15</v>
      </c>
      <c r="G127" s="19" t="n">
        <v>7321.07</v>
      </c>
      <c r="H127" s="22" t="n">
        <v>0.4143</v>
      </c>
      <c r="I127" s="15" t="n">
        <v>0.5857</v>
      </c>
    </row>
    <row r="128">
      <c r="A128" s="13" t="inlineStr">
        <is>
          <t>STG-04</t>
        </is>
      </c>
      <c r="B128" s="13" t="inlineStr">
        <is>
          <t>Basin Self Storage</t>
        </is>
      </c>
      <c r="C128" s="13" t="inlineStr">
        <is>
          <t>Self-Storage</t>
        </is>
      </c>
      <c r="D128" s="14" t="n">
        <v>45474</v>
      </c>
      <c r="E128" s="19" t="n">
        <v>17833.42</v>
      </c>
      <c r="F128" s="19" t="n">
        <v>10527.21</v>
      </c>
      <c r="G128" s="19" t="n">
        <v>7306.21</v>
      </c>
      <c r="H128" s="22" t="n">
        <v>0.4097</v>
      </c>
      <c r="I128" s="15" t="n">
        <v>0.5903</v>
      </c>
    </row>
    <row r="129">
      <c r="A129" s="13" t="inlineStr">
        <is>
          <t>STG-04</t>
        </is>
      </c>
      <c r="B129" s="13" t="inlineStr">
        <is>
          <t>Basin Self Storage</t>
        </is>
      </c>
      <c r="C129" s="13" t="inlineStr">
        <is>
          <t>Self-Storage</t>
        </is>
      </c>
      <c r="D129" s="14" t="n">
        <v>45505</v>
      </c>
      <c r="E129" s="19" t="n">
        <v>18173.02</v>
      </c>
      <c r="F129" s="19" t="n">
        <v>10918.54</v>
      </c>
      <c r="G129" s="19" t="n">
        <v>7254.48</v>
      </c>
      <c r="H129" s="22" t="n">
        <v>0.3992</v>
      </c>
      <c r="I129" s="15" t="n">
        <v>0.6008</v>
      </c>
    </row>
    <row r="130">
      <c r="A130" s="13" t="inlineStr">
        <is>
          <t>STG-04</t>
        </is>
      </c>
      <c r="B130" s="13" t="inlineStr">
        <is>
          <t>Basin Self Storage</t>
        </is>
      </c>
      <c r="C130" s="13" t="inlineStr">
        <is>
          <t>Self-Storage</t>
        </is>
      </c>
      <c r="D130" s="14" t="n">
        <v>45536</v>
      </c>
      <c r="E130" s="19" t="n">
        <v>17708.4</v>
      </c>
      <c r="F130" s="19" t="n">
        <v>10390.78</v>
      </c>
      <c r="G130" s="19" t="n">
        <v>7317.62</v>
      </c>
      <c r="H130" s="22" t="n">
        <v>0.4132</v>
      </c>
      <c r="I130" s="15" t="n">
        <v>0.5868</v>
      </c>
    </row>
    <row r="131">
      <c r="A131" s="13" t="inlineStr">
        <is>
          <t>STG-04</t>
        </is>
      </c>
      <c r="B131" s="13" t="inlineStr">
        <is>
          <t>Basin Self Storage</t>
        </is>
      </c>
      <c r="C131" s="13" t="inlineStr">
        <is>
          <t>Self-Storage</t>
        </is>
      </c>
      <c r="D131" s="14" t="n">
        <v>45566</v>
      </c>
      <c r="E131" s="19" t="n">
        <v>18154.35</v>
      </c>
      <c r="F131" s="19" t="n">
        <v>10773.4</v>
      </c>
      <c r="G131" s="19" t="n">
        <v>7380.95</v>
      </c>
      <c r="H131" s="22" t="n">
        <v>0.4066</v>
      </c>
      <c r="I131" s="15" t="n">
        <v>0.5934</v>
      </c>
    </row>
    <row r="132">
      <c r="A132" s="13" t="inlineStr">
        <is>
          <t>STG-04</t>
        </is>
      </c>
      <c r="B132" s="13" t="inlineStr">
        <is>
          <t>Basin Self Storage</t>
        </is>
      </c>
      <c r="C132" s="13" t="inlineStr">
        <is>
          <t>Self-Storage</t>
        </is>
      </c>
      <c r="D132" s="14" t="n">
        <v>45597</v>
      </c>
      <c r="E132" s="19" t="n">
        <v>19098.21</v>
      </c>
      <c r="F132" s="19" t="n">
        <v>11587.53</v>
      </c>
      <c r="G132" s="19" t="n">
        <v>7510.68</v>
      </c>
      <c r="H132" s="22" t="n">
        <v>0.3933</v>
      </c>
      <c r="I132" s="15" t="n">
        <v>0.6067</v>
      </c>
    </row>
    <row r="133">
      <c r="A133" s="13" t="inlineStr">
        <is>
          <t>STG-04</t>
        </is>
      </c>
      <c r="B133" s="13" t="inlineStr">
        <is>
          <t>Basin Self Storage</t>
        </is>
      </c>
      <c r="C133" s="13" t="inlineStr">
        <is>
          <t>Self-Storage</t>
        </is>
      </c>
      <c r="D133" s="14" t="n">
        <v>45627</v>
      </c>
      <c r="E133" s="19" t="n">
        <v>18880.64</v>
      </c>
      <c r="F133" s="19" t="n">
        <v>11592.51</v>
      </c>
      <c r="G133" s="19" t="n">
        <v>7288.13</v>
      </c>
      <c r="H133" s="22" t="n">
        <v>0.386</v>
      </c>
      <c r="I133" s="15" t="n">
        <v>0.614</v>
      </c>
    </row>
    <row r="134">
      <c r="A134" s="13" t="inlineStr">
        <is>
          <t>STG-05</t>
        </is>
      </c>
      <c r="B134" s="13" t="inlineStr">
        <is>
          <t>Summit Storage</t>
        </is>
      </c>
      <c r="C134" s="13" t="inlineStr">
        <is>
          <t>Self-Storage</t>
        </is>
      </c>
      <c r="D134" s="14" t="n">
        <v>45292</v>
      </c>
      <c r="E134" s="19" t="n">
        <v>20985.2</v>
      </c>
      <c r="F134" s="19" t="n">
        <v>10353.17</v>
      </c>
      <c r="G134" s="19" t="n">
        <v>10632.03</v>
      </c>
      <c r="H134" s="21" t="n">
        <v>0.5066000000000001</v>
      </c>
      <c r="I134" s="15" t="n">
        <v>0.4934</v>
      </c>
    </row>
    <row r="135">
      <c r="A135" s="13" t="inlineStr">
        <is>
          <t>STG-05</t>
        </is>
      </c>
      <c r="B135" s="13" t="inlineStr">
        <is>
          <t>Summit Storage</t>
        </is>
      </c>
      <c r="C135" s="13" t="inlineStr">
        <is>
          <t>Self-Storage</t>
        </is>
      </c>
      <c r="D135" s="14" t="n">
        <v>45323</v>
      </c>
      <c r="E135" s="19" t="n">
        <v>20794.07</v>
      </c>
      <c r="F135" s="19" t="n">
        <v>10613.56</v>
      </c>
      <c r="G135" s="19" t="n">
        <v>10180.51</v>
      </c>
      <c r="H135" s="21" t="n">
        <v>0.4896</v>
      </c>
      <c r="I135" s="15" t="n">
        <v>0.5104</v>
      </c>
    </row>
    <row r="136">
      <c r="A136" s="13" t="inlineStr">
        <is>
          <t>STG-05</t>
        </is>
      </c>
      <c r="B136" s="13" t="inlineStr">
        <is>
          <t>Summit Storage</t>
        </is>
      </c>
      <c r="C136" s="13" t="inlineStr">
        <is>
          <t>Self-Storage</t>
        </is>
      </c>
      <c r="D136" s="14" t="n">
        <v>45352</v>
      </c>
      <c r="E136" s="19" t="n">
        <v>20666.51</v>
      </c>
      <c r="F136" s="19" t="n">
        <v>10690.68</v>
      </c>
      <c r="G136" s="19" t="n">
        <v>9975.83</v>
      </c>
      <c r="H136" s="21" t="n">
        <v>0.4827</v>
      </c>
      <c r="I136" s="15" t="n">
        <v>0.5173</v>
      </c>
    </row>
    <row r="137">
      <c r="A137" s="13" t="inlineStr">
        <is>
          <t>STG-05</t>
        </is>
      </c>
      <c r="B137" s="13" t="inlineStr">
        <is>
          <t>Summit Storage</t>
        </is>
      </c>
      <c r="C137" s="13" t="inlineStr">
        <is>
          <t>Self-Storage</t>
        </is>
      </c>
      <c r="D137" s="14" t="n">
        <v>45383</v>
      </c>
      <c r="E137" s="19" t="n">
        <v>21470.04</v>
      </c>
      <c r="F137" s="19" t="n">
        <v>10918.07</v>
      </c>
      <c r="G137" s="19" t="n">
        <v>10551.97</v>
      </c>
      <c r="H137" s="21" t="n">
        <v>0.4915</v>
      </c>
      <c r="I137" s="15" t="n">
        <v>0.5085</v>
      </c>
    </row>
    <row r="138">
      <c r="A138" s="13" t="inlineStr">
        <is>
          <t>STG-05</t>
        </is>
      </c>
      <c r="B138" s="13" t="inlineStr">
        <is>
          <t>Summit Storage</t>
        </is>
      </c>
      <c r="C138" s="13" t="inlineStr">
        <is>
          <t>Self-Storage</t>
        </is>
      </c>
      <c r="D138" s="14" t="n">
        <v>45413</v>
      </c>
      <c r="E138" s="19" t="n">
        <v>20855.52</v>
      </c>
      <c r="F138" s="19" t="n">
        <v>10804.35</v>
      </c>
      <c r="G138" s="19" t="n">
        <v>10051.17</v>
      </c>
      <c r="H138" s="21" t="n">
        <v>0.4819</v>
      </c>
      <c r="I138" s="15" t="n">
        <v>0.5181</v>
      </c>
    </row>
    <row r="139">
      <c r="A139" s="13" t="inlineStr">
        <is>
          <t>STG-05</t>
        </is>
      </c>
      <c r="B139" s="13" t="inlineStr">
        <is>
          <t>Summit Storage</t>
        </is>
      </c>
      <c r="C139" s="13" t="inlineStr">
        <is>
          <t>Self-Storage</t>
        </is>
      </c>
      <c r="D139" s="14" t="n">
        <v>45444</v>
      </c>
      <c r="E139" s="19" t="n">
        <v>21221.95</v>
      </c>
      <c r="F139" s="19" t="n">
        <v>11384.22</v>
      </c>
      <c r="G139" s="19" t="n">
        <v>9837.73</v>
      </c>
      <c r="H139" s="21" t="n">
        <v>0.4636</v>
      </c>
      <c r="I139" s="15" t="n">
        <v>0.5364</v>
      </c>
    </row>
    <row r="140">
      <c r="A140" s="13" t="inlineStr">
        <is>
          <t>STG-05</t>
        </is>
      </c>
      <c r="B140" s="13" t="inlineStr">
        <is>
          <t>Summit Storage</t>
        </is>
      </c>
      <c r="C140" s="13" t="inlineStr">
        <is>
          <t>Self-Storage</t>
        </is>
      </c>
      <c r="D140" s="14" t="n">
        <v>45474</v>
      </c>
      <c r="E140" s="19" t="n">
        <v>20888.89</v>
      </c>
      <c r="F140" s="19" t="n">
        <v>11217.91</v>
      </c>
      <c r="G140" s="19" t="n">
        <v>9670.98</v>
      </c>
      <c r="H140" s="21" t="n">
        <v>0.463</v>
      </c>
      <c r="I140" s="15" t="n">
        <v>0.537</v>
      </c>
    </row>
    <row r="141">
      <c r="A141" s="13" t="inlineStr">
        <is>
          <t>STG-05</t>
        </is>
      </c>
      <c r="B141" s="13" t="inlineStr">
        <is>
          <t>Summit Storage</t>
        </is>
      </c>
      <c r="C141" s="13" t="inlineStr">
        <is>
          <t>Self-Storage</t>
        </is>
      </c>
      <c r="D141" s="14" t="n">
        <v>45505</v>
      </c>
      <c r="E141" s="19" t="n">
        <v>20972.83</v>
      </c>
      <c r="F141" s="19" t="n">
        <v>11367.15</v>
      </c>
      <c r="G141" s="19" t="n">
        <v>9605.68</v>
      </c>
      <c r="H141" s="21" t="n">
        <v>0.458</v>
      </c>
      <c r="I141" s="15" t="n">
        <v>0.542</v>
      </c>
    </row>
    <row r="142">
      <c r="A142" s="13" t="inlineStr">
        <is>
          <t>STG-05</t>
        </is>
      </c>
      <c r="B142" s="13" t="inlineStr">
        <is>
          <t>Summit Storage</t>
        </is>
      </c>
      <c r="C142" s="13" t="inlineStr">
        <is>
          <t>Self-Storage</t>
        </is>
      </c>
      <c r="D142" s="14" t="n">
        <v>45536</v>
      </c>
      <c r="E142" s="19" t="n">
        <v>21359.7</v>
      </c>
      <c r="F142" s="19" t="n">
        <v>11441.84</v>
      </c>
      <c r="G142" s="19" t="n">
        <v>9917.860000000001</v>
      </c>
      <c r="H142" s="21" t="n">
        <v>0.4643</v>
      </c>
      <c r="I142" s="15" t="n">
        <v>0.5357</v>
      </c>
    </row>
    <row r="143">
      <c r="A143" s="13" t="inlineStr">
        <is>
          <t>STG-05</t>
        </is>
      </c>
      <c r="B143" s="13" t="inlineStr">
        <is>
          <t>Summit Storage</t>
        </is>
      </c>
      <c r="C143" s="13" t="inlineStr">
        <is>
          <t>Self-Storage</t>
        </is>
      </c>
      <c r="D143" s="14" t="n">
        <v>45566</v>
      </c>
      <c r="E143" s="19" t="n">
        <v>21335.92</v>
      </c>
      <c r="F143" s="19" t="n">
        <v>11864.84</v>
      </c>
      <c r="G143" s="19" t="n">
        <v>9471.08</v>
      </c>
      <c r="H143" s="22" t="n">
        <v>0.4439</v>
      </c>
      <c r="I143" s="15" t="n">
        <v>0.5561</v>
      </c>
    </row>
    <row r="144">
      <c r="A144" s="13" t="inlineStr">
        <is>
          <t>STG-05</t>
        </is>
      </c>
      <c r="B144" s="13" t="inlineStr">
        <is>
          <t>Summit Storage</t>
        </is>
      </c>
      <c r="C144" s="13" t="inlineStr">
        <is>
          <t>Self-Storage</t>
        </is>
      </c>
      <c r="D144" s="14" t="n">
        <v>45597</v>
      </c>
      <c r="E144" s="19" t="n">
        <v>21755.21</v>
      </c>
      <c r="F144" s="19" t="n">
        <v>11899.37</v>
      </c>
      <c r="G144" s="19" t="n">
        <v>9855.84</v>
      </c>
      <c r="H144" s="21" t="n">
        <v>0.453</v>
      </c>
      <c r="I144" s="15" t="n">
        <v>0.547</v>
      </c>
    </row>
    <row r="145">
      <c r="A145" s="13" t="inlineStr">
        <is>
          <t>STG-05</t>
        </is>
      </c>
      <c r="B145" s="13" t="inlineStr">
        <is>
          <t>Summit Storage</t>
        </is>
      </c>
      <c r="C145" s="13" t="inlineStr">
        <is>
          <t>Self-Storage</t>
        </is>
      </c>
      <c r="D145" s="14" t="n">
        <v>45627</v>
      </c>
      <c r="E145" s="19" t="n">
        <v>21466.19</v>
      </c>
      <c r="F145" s="19" t="n">
        <v>12142.41</v>
      </c>
      <c r="G145" s="19" t="n">
        <v>9323.780000000001</v>
      </c>
      <c r="H145" s="22" t="n">
        <v>0.4343</v>
      </c>
      <c r="I145" s="15" t="n">
        <v>0.5657</v>
      </c>
    </row>
  </sheetData>
  <pageMargins left="0.75" right="0.75" top="1" bottom="1" header="0.5" footer="0.5"/>
</worksheet>
</file>

<file path=xl/worksheets/sheet6.xml><?xml version="1.0" encoding="utf-8"?>
<worksheet xmlns="http://schemas.openxmlformats.org/spreadsheetml/2006/main">
  <sheetPr>
    <tabColor rgb="008064A2"/>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16" customWidth="1" min="3" max="3"/>
    <col width="12" customWidth="1" min="4" max="4"/>
    <col width="17" customWidth="1" min="5" max="5"/>
    <col width="19" customWidth="1" min="6" max="6"/>
    <col width="15" customWidth="1" min="7" max="7"/>
    <col width="22" customWidth="1" min="8" max="8"/>
    <col width="22" customWidth="1" min="9" max="9"/>
    <col width="19" customWidth="1" min="10" max="10"/>
  </cols>
  <sheetData>
    <row r="1">
      <c r="A1" s="6" t="inlineStr">
        <is>
          <t>Property Name</t>
        </is>
      </c>
      <c r="B1" s="6" t="inlineStr">
        <is>
          <t>Asset Type</t>
        </is>
      </c>
      <c r="C1" s="6" t="inlineStr">
        <is>
          <t>City</t>
        </is>
      </c>
      <c r="D1" s="6" t="inlineStr">
        <is>
          <t>State</t>
        </is>
      </c>
      <c r="E1" s="6" t="inlineStr">
        <is>
          <t>Market Avg Rent</t>
        </is>
      </c>
      <c r="F1" s="6" t="inlineStr">
        <is>
          <t>Property Avg Rent</t>
        </is>
      </c>
      <c r="G1" s="6" t="inlineStr">
        <is>
          <t>Rent Upside %</t>
        </is>
      </c>
      <c r="H1" s="6" t="inlineStr">
        <is>
          <t>Competitor Occupancy</t>
        </is>
      </c>
      <c r="I1" s="6" t="inlineStr">
        <is>
          <t>Market Cap Rate</t>
        </is>
      </c>
      <c r="J1" s="6" t="inlineStr">
        <is>
          <t>Opportunity Score</t>
        </is>
      </c>
    </row>
    <row r="2">
      <c r="A2" s="13" t="inlineStr">
        <is>
          <t>Canyon Ridge</t>
        </is>
      </c>
      <c r="B2" s="13" t="inlineStr">
        <is>
          <t>MHC</t>
        </is>
      </c>
      <c r="C2" s="13" t="inlineStr">
        <is>
          <t>Tucson</t>
        </is>
      </c>
      <c r="D2" s="13" t="inlineStr">
        <is>
          <t>AZ</t>
        </is>
      </c>
      <c r="E2" s="19" t="n">
        <v>908.85</v>
      </c>
      <c r="F2" s="19" t="n">
        <v>777.79</v>
      </c>
      <c r="G2" s="15" t="n">
        <v>0.1685</v>
      </c>
      <c r="H2" s="15" t="n">
        <v>0.8446</v>
      </c>
      <c r="I2" s="15" t="n">
        <v>0.06123</v>
      </c>
      <c r="J2" s="24" t="n">
        <v>100</v>
      </c>
    </row>
    <row r="3">
      <c r="A3" s="13" t="inlineStr">
        <is>
          <t>Pinon Pines</t>
        </is>
      </c>
      <c r="B3" s="13" t="inlineStr">
        <is>
          <t>MHC</t>
        </is>
      </c>
      <c r="C3" s="13" t="inlineStr">
        <is>
          <t>Albuquerque</t>
        </is>
      </c>
      <c r="D3" s="13" t="inlineStr">
        <is>
          <t>NM</t>
        </is>
      </c>
      <c r="E3" s="19" t="n">
        <v>780.6799999999999</v>
      </c>
      <c r="F3" s="19" t="n">
        <v>680.5700000000001</v>
      </c>
      <c r="G3" s="15" t="n">
        <v>0.1471</v>
      </c>
      <c r="H3" s="15" t="n">
        <v>0.8849</v>
      </c>
      <c r="I3" s="15" t="n">
        <v>0.0561</v>
      </c>
      <c r="J3" s="24" t="n">
        <v>96</v>
      </c>
    </row>
    <row r="4">
      <c r="A4" s="13" t="inlineStr">
        <is>
          <t>Basin Self Storage</t>
        </is>
      </c>
      <c r="B4" s="13" t="inlineStr">
        <is>
          <t>Self-Storage</t>
        </is>
      </c>
      <c r="C4" s="13" t="inlineStr">
        <is>
          <t>Reno</t>
        </is>
      </c>
      <c r="D4" s="13" t="inlineStr">
        <is>
          <t>NV</t>
        </is>
      </c>
      <c r="E4" s="19" t="n">
        <v>127.69</v>
      </c>
      <c r="F4" s="19" t="n">
        <v>112.69</v>
      </c>
      <c r="G4" s="15" t="n">
        <v>0.1331</v>
      </c>
      <c r="H4" s="15" t="n">
        <v>0.8348</v>
      </c>
      <c r="I4" s="15" t="n">
        <v>0.05182</v>
      </c>
      <c r="J4" s="24" t="n">
        <v>90</v>
      </c>
    </row>
    <row r="5">
      <c r="A5" s="13" t="inlineStr">
        <is>
          <t>SunState Storage</t>
        </is>
      </c>
      <c r="B5" s="13" t="inlineStr">
        <is>
          <t>Self-Storage</t>
        </is>
      </c>
      <c r="C5" s="13" t="inlineStr">
        <is>
          <t>Scottsdale</t>
        </is>
      </c>
      <c r="D5" s="13" t="inlineStr">
        <is>
          <t>AZ</t>
        </is>
      </c>
      <c r="E5" s="19" t="n">
        <v>139.63</v>
      </c>
      <c r="F5" s="19" t="n">
        <v>127.12</v>
      </c>
      <c r="G5" s="15" t="n">
        <v>0.0984</v>
      </c>
      <c r="H5" s="15" t="n">
        <v>0.9417</v>
      </c>
      <c r="I5" s="15" t="n">
        <v>0.05482</v>
      </c>
      <c r="J5" s="25" t="n">
        <v>65</v>
      </c>
    </row>
    <row r="6">
      <c r="A6" s="13" t="inlineStr">
        <is>
          <t>Summit Storage</t>
        </is>
      </c>
      <c r="B6" s="13" t="inlineStr">
        <is>
          <t>Self-Storage</t>
        </is>
      </c>
      <c r="C6" s="13" t="inlineStr">
        <is>
          <t>Salt Lake City</t>
        </is>
      </c>
      <c r="D6" s="13" t="inlineStr">
        <is>
          <t>UT</t>
        </is>
      </c>
      <c r="E6" s="19" t="n">
        <v>96.69</v>
      </c>
      <c r="F6" s="19" t="n">
        <v>91.36</v>
      </c>
      <c r="G6" s="15" t="n">
        <v>0.0583</v>
      </c>
      <c r="H6" s="15" t="n">
        <v>0.9365</v>
      </c>
      <c r="I6" s="15" t="n">
        <v>0.05413</v>
      </c>
      <c r="J6" s="25" t="n">
        <v>63</v>
      </c>
    </row>
    <row r="7">
      <c r="A7" s="13" t="inlineStr">
        <is>
          <t>Mesa Vista</t>
        </is>
      </c>
      <c r="B7" s="13" t="inlineStr">
        <is>
          <t>MHC</t>
        </is>
      </c>
      <c r="C7" s="13" t="inlineStr">
        <is>
          <t>Mesa</t>
        </is>
      </c>
      <c r="D7" s="13" t="inlineStr">
        <is>
          <t>AZ</t>
        </is>
      </c>
      <c r="E7" s="19" t="n">
        <v>813.13</v>
      </c>
      <c r="F7" s="19" t="n">
        <v>757.88</v>
      </c>
      <c r="G7" s="15" t="n">
        <v>0.07290000000000001</v>
      </c>
      <c r="H7" s="15" t="n">
        <v>0.9547</v>
      </c>
      <c r="I7" s="15" t="n">
        <v>0.06775</v>
      </c>
      <c r="J7" s="25" t="n">
        <v>60</v>
      </c>
    </row>
    <row r="8">
      <c r="A8" s="13" t="inlineStr">
        <is>
          <t>Desert Palms</t>
        </is>
      </c>
      <c r="B8" s="13" t="inlineStr">
        <is>
          <t>MHC</t>
        </is>
      </c>
      <c r="C8" s="13" t="inlineStr">
        <is>
          <t>Henderson</t>
        </is>
      </c>
      <c r="D8" s="13" t="inlineStr">
        <is>
          <t>NV</t>
        </is>
      </c>
      <c r="E8" s="19" t="n">
        <v>736.02</v>
      </c>
      <c r="F8" s="19" t="n">
        <v>709.6900000000001</v>
      </c>
      <c r="G8" s="15" t="n">
        <v>0.0371</v>
      </c>
      <c r="H8" s="15" t="n">
        <v>0.9425</v>
      </c>
      <c r="I8" s="15" t="n">
        <v>0.05613000000000001</v>
      </c>
      <c r="J8" s="25" t="n">
        <v>58</v>
      </c>
    </row>
    <row r="9">
      <c r="A9" s="13" t="inlineStr">
        <is>
          <t>Red Rock Commons</t>
        </is>
      </c>
      <c r="B9" s="13" t="inlineStr">
        <is>
          <t>MHC</t>
        </is>
      </c>
      <c r="C9" s="13" t="inlineStr">
        <is>
          <t>St. George</t>
        </is>
      </c>
      <c r="D9" s="13" t="inlineStr">
        <is>
          <t>UT</t>
        </is>
      </c>
      <c r="E9" s="19" t="n">
        <v>839.01</v>
      </c>
      <c r="F9" s="19" t="n">
        <v>802.5</v>
      </c>
      <c r="G9" s="15" t="n">
        <v>0.0455</v>
      </c>
      <c r="H9" s="15" t="n">
        <v>0.96</v>
      </c>
      <c r="I9" s="15" t="n">
        <v>0.06678000000000001</v>
      </c>
      <c r="J9" s="25" t="n">
        <v>57</v>
      </c>
    </row>
    <row r="10">
      <c r="A10" s="13" t="inlineStr">
        <is>
          <t>Saguaro Estates</t>
        </is>
      </c>
      <c r="B10" s="13" t="inlineStr">
        <is>
          <t>MHC</t>
        </is>
      </c>
      <c r="C10" s="13" t="inlineStr">
        <is>
          <t>Phoenix</t>
        </is>
      </c>
      <c r="D10" s="13" t="inlineStr">
        <is>
          <t>AZ</t>
        </is>
      </c>
      <c r="E10" s="19" t="n">
        <v>806.67</v>
      </c>
      <c r="F10" s="19" t="n">
        <v>771.79</v>
      </c>
      <c r="G10" s="15" t="n">
        <v>0.0452</v>
      </c>
      <c r="H10" s="15" t="n">
        <v>0.98</v>
      </c>
      <c r="I10" s="15" t="n">
        <v>0.05928</v>
      </c>
      <c r="J10" s="25" t="n">
        <v>55</v>
      </c>
    </row>
    <row r="11">
      <c r="A11" s="13" t="inlineStr">
        <is>
          <t>Desert Vault</t>
        </is>
      </c>
      <c r="B11" s="13" t="inlineStr">
        <is>
          <t>Self-Storage</t>
        </is>
      </c>
      <c r="C11" s="13" t="inlineStr">
        <is>
          <t>Tucson</t>
        </is>
      </c>
      <c r="D11" s="13" t="inlineStr">
        <is>
          <t>AZ</t>
        </is>
      </c>
      <c r="E11" s="19" t="n">
        <v>96.83</v>
      </c>
      <c r="F11" s="19" t="n">
        <v>90.04000000000001</v>
      </c>
      <c r="G11" s="15" t="n">
        <v>0.07539999999999999</v>
      </c>
      <c r="H11" s="15" t="n">
        <v>0.9098000000000001</v>
      </c>
      <c r="I11" s="15" t="n">
        <v>0.06332</v>
      </c>
      <c r="J11" s="25" t="n">
        <v>55</v>
      </c>
    </row>
    <row r="12">
      <c r="A12" s="13" t="inlineStr">
        <is>
          <t>Sunrise Meadows</t>
        </is>
      </c>
      <c r="B12" s="13" t="inlineStr">
        <is>
          <t>MHC</t>
        </is>
      </c>
      <c r="C12" s="13" t="inlineStr">
        <is>
          <t>Las Vegas</t>
        </is>
      </c>
      <c r="D12" s="13" t="inlineStr">
        <is>
          <t>NV</t>
        </is>
      </c>
      <c r="E12" s="19" t="n">
        <v>843.8</v>
      </c>
      <c r="F12" s="19" t="n">
        <v>824.1</v>
      </c>
      <c r="G12" s="15" t="n">
        <v>0.0239</v>
      </c>
      <c r="H12" s="15" t="n">
        <v>0.9316</v>
      </c>
      <c r="I12" s="15" t="n">
        <v>0.06494</v>
      </c>
      <c r="J12" s="25" t="n">
        <v>53</v>
      </c>
    </row>
    <row r="13">
      <c r="A13" s="13" t="inlineStr">
        <is>
          <t>ClearBox Storage</t>
        </is>
      </c>
      <c r="B13" s="13" t="inlineStr">
        <is>
          <t>Self-Storage</t>
        </is>
      </c>
      <c r="C13" s="13" t="inlineStr">
        <is>
          <t>Las Vegas</t>
        </is>
      </c>
      <c r="D13" s="13" t="inlineStr">
        <is>
          <t>NV</t>
        </is>
      </c>
      <c r="E13" s="19" t="n">
        <v>146.41</v>
      </c>
      <c r="F13" s="19" t="n">
        <v>144.5</v>
      </c>
      <c r="G13" s="15" t="n">
        <v>1.32</v>
      </c>
      <c r="H13" s="15" t="n">
        <v>0.9441000000000001</v>
      </c>
      <c r="I13" s="15" t="n">
        <v>0.05636</v>
      </c>
      <c r="J13" s="17" t="n">
        <v>47</v>
      </c>
    </row>
  </sheetData>
  <pageMargins left="0.75" right="0.75" top="1" bottom="1" header="0.5" footer="0.5"/>
</worksheet>
</file>

<file path=xl/worksheets/sheet7.xml><?xml version="1.0" encoding="utf-8"?>
<worksheet xmlns="http://schemas.openxmlformats.org/spreadsheetml/2006/main">
  <sheetPr>
    <tabColor rgb="00C55A11"/>
    <outlinePr summaryBelow="1" summaryRight="1"/>
    <pageSetUpPr/>
  </sheetPr>
  <dimension ref="A1:L20"/>
  <sheetViews>
    <sheetView workbookViewId="0">
      <pane ySplit="8" topLeftCell="A9" activePane="bottomLeft" state="frozen"/>
      <selection pane="bottomLeft" activeCell="A1" sqref="A1"/>
    </sheetView>
  </sheetViews>
  <sheetFormatPr baseColWidth="8" defaultRowHeight="15"/>
  <cols>
    <col width="20" customWidth="1" min="1" max="1"/>
    <col width="14" customWidth="1" min="2" max="2"/>
    <col width="35" customWidth="1" min="3" max="3"/>
    <col width="22" customWidth="1" min="4" max="4"/>
    <col width="12" customWidth="1" min="5" max="5"/>
    <col width="12" customWidth="1" min="6" max="6"/>
    <col width="16" customWidth="1" min="7" max="7"/>
    <col width="13" customWidth="1" min="8" max="8"/>
    <col width="12" customWidth="1" min="9" max="9"/>
    <col width="22" customWidth="1" min="10" max="10"/>
    <col width="12" customWidth="1" min="11" max="11"/>
    <col width="12" customWidth="1" min="12" max="12"/>
  </cols>
  <sheetData>
    <row r="1">
      <c r="A1" s="26" t="inlineStr">
        <is>
          <t>Total Budgeted</t>
        </is>
      </c>
      <c r="B1" s="27" t="n"/>
      <c r="C1" s="27" t="n"/>
      <c r="D1" s="26" t="inlineStr">
        <is>
          <t>Total Actual</t>
        </is>
      </c>
      <c r="E1" s="27" t="n"/>
      <c r="F1" s="27" t="n"/>
      <c r="G1" s="26" t="inlineStr">
        <is>
          <t>Total Variance</t>
        </is>
      </c>
      <c r="H1" s="27" t="n"/>
      <c r="I1" s="27" t="n"/>
      <c r="J1" s="26" t="inlineStr">
        <is>
          <t>Projects Over Budget</t>
        </is>
      </c>
      <c r="K1" s="27" t="n"/>
      <c r="L1" s="27" t="n"/>
    </row>
    <row r="2">
      <c r="A2" s="27" t="n"/>
      <c r="B2" s="27" t="n"/>
      <c r="C2" s="27" t="n"/>
      <c r="D2" s="27" t="n"/>
      <c r="E2" s="27" t="n"/>
      <c r="F2" s="27" t="n"/>
      <c r="G2" s="27" t="n"/>
      <c r="H2" s="27" t="n"/>
      <c r="I2" s="27" t="n"/>
      <c r="J2" s="27" t="n"/>
      <c r="K2" s="27" t="n"/>
      <c r="L2" s="27" t="n"/>
    </row>
    <row r="3">
      <c r="A3" s="28" t="n">
        <v>3347000</v>
      </c>
      <c r="B3" s="27" t="n"/>
      <c r="C3" s="27" t="n"/>
      <c r="D3" s="28" t="n">
        <v>3524771.5</v>
      </c>
      <c r="E3" s="27" t="n"/>
      <c r="F3" s="27" t="n"/>
      <c r="G3" s="29" t="n">
        <v>177771.5</v>
      </c>
      <c r="H3" s="27" t="n"/>
      <c r="I3" s="27" t="n"/>
      <c r="J3" s="30" t="n">
        <v>8</v>
      </c>
      <c r="K3" s="27" t="n"/>
      <c r="L3" s="27" t="n"/>
    </row>
    <row r="4">
      <c r="A4" s="27" t="n"/>
      <c r="B4" s="27" t="n"/>
      <c r="C4" s="27" t="n"/>
      <c r="D4" s="27" t="n"/>
      <c r="E4" s="27" t="n"/>
      <c r="F4" s="27" t="n"/>
      <c r="G4" s="27" t="n"/>
      <c r="H4" s="27" t="n"/>
      <c r="I4" s="27" t="n"/>
      <c r="J4" s="27" t="n"/>
      <c r="K4" s="27" t="n"/>
      <c r="L4" s="27" t="n"/>
    </row>
    <row r="5">
      <c r="A5" s="27" t="n"/>
      <c r="B5" s="27" t="n"/>
      <c r="C5" s="27" t="n"/>
      <c r="D5" s="27" t="n"/>
      <c r="E5" s="27" t="n"/>
      <c r="F5" s="27" t="n"/>
      <c r="G5" s="27" t="n"/>
      <c r="H5" s="27" t="n"/>
      <c r="I5" s="27" t="n"/>
      <c r="J5" s="27" t="n"/>
      <c r="K5" s="27" t="n"/>
      <c r="L5" s="27" t="n"/>
    </row>
    <row r="6"/>
    <row r="7"/>
    <row r="8">
      <c r="A8" s="6" t="inlineStr">
        <is>
          <t>Property Name</t>
        </is>
      </c>
      <c r="B8" s="6" t="inlineStr">
        <is>
          <t>Asset Type</t>
        </is>
      </c>
      <c r="C8" s="6" t="inlineStr">
        <is>
          <t>Project Name</t>
        </is>
      </c>
      <c r="D8" s="6" t="inlineStr">
        <is>
          <t>Project Type</t>
        </is>
      </c>
      <c r="E8" s="6" t="inlineStr">
        <is>
          <t>Start Date</t>
        </is>
      </c>
      <c r="F8" s="6" t="inlineStr">
        <is>
          <t>End Date</t>
        </is>
      </c>
      <c r="G8" s="6" t="inlineStr">
        <is>
          <t>Budgeted Cost</t>
        </is>
      </c>
      <c r="H8" s="6" t="inlineStr">
        <is>
          <t>Actual Cost</t>
        </is>
      </c>
      <c r="I8" s="6" t="inlineStr">
        <is>
          <t>Variance</t>
        </is>
      </c>
      <c r="J8" s="6" t="inlineStr">
        <is>
          <t>Status</t>
        </is>
      </c>
    </row>
    <row r="9">
      <c r="A9" s="13" t="inlineStr">
        <is>
          <t>Sunrise Meadows</t>
        </is>
      </c>
      <c r="B9" s="13" t="inlineStr">
        <is>
          <t>MHC</t>
        </is>
      </c>
      <c r="C9" s="13" t="inlineStr">
        <is>
          <t>Entry Road Regrade</t>
        </is>
      </c>
      <c r="D9" s="13" t="inlineStr">
        <is>
          <t>Road Repair</t>
        </is>
      </c>
      <c r="E9" s="14" t="n">
        <v>45337</v>
      </c>
      <c r="F9" s="14" t="n">
        <v>45442</v>
      </c>
      <c r="G9" s="19" t="n">
        <v>180000</v>
      </c>
      <c r="H9" s="19" t="n">
        <v>187276.61</v>
      </c>
      <c r="I9" s="31" t="n">
        <v>7276.61</v>
      </c>
      <c r="J9" s="13" t="inlineStr">
        <is>
          <t>Completed</t>
        </is>
      </c>
      <c r="K9" s="13" t="n"/>
      <c r="L9" s="13" t="n"/>
    </row>
    <row r="10">
      <c r="A10" s="13" t="inlineStr">
        <is>
          <t>Desert Palms</t>
        </is>
      </c>
      <c r="B10" s="13" t="inlineStr">
        <is>
          <t>MHC</t>
        </is>
      </c>
      <c r="C10" s="13" t="inlineStr">
        <is>
          <t>Perimeter Fence Refresh</t>
        </is>
      </c>
      <c r="D10" s="13" t="inlineStr">
        <is>
          <t>Fencing</t>
        </is>
      </c>
      <c r="E10" s="14" t="n">
        <v>45352</v>
      </c>
      <c r="F10" s="14" t="n">
        <v>45463</v>
      </c>
      <c r="G10" s="19" t="n">
        <v>95000</v>
      </c>
      <c r="H10" s="19" t="n">
        <v>97479</v>
      </c>
      <c r="I10" s="31" t="n">
        <v>2479</v>
      </c>
      <c r="J10" s="13" t="inlineStr">
        <is>
          <t>Completed</t>
        </is>
      </c>
      <c r="K10" s="13" t="n"/>
      <c r="L10" s="13" t="n"/>
    </row>
    <row r="11">
      <c r="A11" s="13" t="inlineStr">
        <is>
          <t>Canyon Ridge</t>
        </is>
      </c>
      <c r="B11" s="13" t="inlineStr">
        <is>
          <t>MHC</t>
        </is>
      </c>
      <c r="C11" s="13" t="inlineStr">
        <is>
          <t>Drainage and Pad Stabilization</t>
        </is>
      </c>
      <c r="D11" s="13" t="inlineStr">
        <is>
          <t>Paving</t>
        </is>
      </c>
      <c r="E11" s="14" t="n">
        <v>45311</v>
      </c>
      <c r="F11" s="14" t="n">
        <v>45550</v>
      </c>
      <c r="G11" s="19" t="n">
        <v>420000</v>
      </c>
      <c r="H11" s="19" t="n">
        <v>448403.28</v>
      </c>
      <c r="I11" s="31" t="n">
        <v>28403.28</v>
      </c>
      <c r="J11" s="13" t="inlineStr">
        <is>
          <t>Active</t>
        </is>
      </c>
      <c r="K11" s="13" t="n"/>
      <c r="L11" s="13" t="n"/>
    </row>
    <row r="12">
      <c r="A12" s="13" t="inlineStr">
        <is>
          <t>Saguaro Estates</t>
        </is>
      </c>
      <c r="B12" s="13" t="inlineStr">
        <is>
          <t>MHC</t>
        </is>
      </c>
      <c r="C12" s="13" t="inlineStr">
        <is>
          <t>Clubhouse Modernization</t>
        </is>
      </c>
      <c r="D12" s="13" t="inlineStr">
        <is>
          <t>Clubhouse Renovation</t>
        </is>
      </c>
      <c r="E12" s="14" t="n">
        <v>45392</v>
      </c>
      <c r="F12" s="14" t="n">
        <v>45534</v>
      </c>
      <c r="G12" s="19" t="n">
        <v>260000</v>
      </c>
      <c r="H12" s="19" t="n">
        <v>234184.75</v>
      </c>
      <c r="I12" s="32" t="n">
        <v>-25815.25</v>
      </c>
      <c r="J12" s="13" t="inlineStr">
        <is>
          <t>Completed</t>
        </is>
      </c>
      <c r="K12" s="13" t="n"/>
      <c r="L12" s="13" t="n"/>
    </row>
    <row r="13">
      <c r="A13" s="13" t="inlineStr">
        <is>
          <t>Pinon Pines</t>
        </is>
      </c>
      <c r="B13" s="13" t="inlineStr">
        <is>
          <t>MHC</t>
        </is>
      </c>
      <c r="C13" s="13" t="inlineStr">
        <is>
          <t>Community-Wide Unit Upgrade Program</t>
        </is>
      </c>
      <c r="D13" s="13" t="inlineStr">
        <is>
          <t>Unit Upgrade</t>
        </is>
      </c>
      <c r="E13" s="14" t="n">
        <v>45301</v>
      </c>
      <c r="F13" s="14" t="n">
        <v>45646</v>
      </c>
      <c r="G13" s="19" t="n">
        <v>780000</v>
      </c>
      <c r="H13" s="19" t="n">
        <v>885148.88</v>
      </c>
      <c r="I13" s="31" t="n">
        <v>105148.88</v>
      </c>
      <c r="J13" s="13" t="inlineStr">
        <is>
          <t>Active</t>
        </is>
      </c>
      <c r="K13" s="13" t="n"/>
      <c r="L13" s="13" t="n"/>
    </row>
    <row r="14">
      <c r="A14" s="13" t="inlineStr">
        <is>
          <t>Red Rock Commons</t>
        </is>
      </c>
      <c r="B14" s="13" t="inlineStr">
        <is>
          <t>MHC</t>
        </is>
      </c>
      <c r="C14" s="13" t="inlineStr">
        <is>
          <t>Domestic Water Loop Upgrade</t>
        </is>
      </c>
      <c r="D14" s="13" t="inlineStr">
        <is>
          <t>Water System</t>
        </is>
      </c>
      <c r="E14" s="14" t="n">
        <v>45413</v>
      </c>
      <c r="F14" s="14" t="n">
        <v>45596</v>
      </c>
      <c r="G14" s="19" t="n">
        <v>310000</v>
      </c>
      <c r="H14" s="19" t="n">
        <v>302823.2</v>
      </c>
      <c r="I14" s="32" t="n">
        <v>-7176.8</v>
      </c>
      <c r="J14" s="13" t="inlineStr">
        <is>
          <t>Active</t>
        </is>
      </c>
      <c r="K14" s="13" t="n"/>
      <c r="L14" s="13" t="n"/>
    </row>
    <row r="15">
      <c r="A15" s="13" t="inlineStr">
        <is>
          <t>Mesa Vista</t>
        </is>
      </c>
      <c r="B15" s="13" t="inlineStr">
        <is>
          <t>MHC</t>
        </is>
      </c>
      <c r="C15" s="13" t="inlineStr">
        <is>
          <t>Monument Sign Replacement</t>
        </is>
      </c>
      <c r="D15" s="13" t="inlineStr">
        <is>
          <t>Signage</t>
        </is>
      </c>
      <c r="E15" s="14" t="n">
        <v>45448</v>
      </c>
      <c r="F15" s="14" t="n">
        <v>45498</v>
      </c>
      <c r="G15" s="19" t="n">
        <v>42000</v>
      </c>
      <c r="H15" s="19" t="n">
        <v>43159.45</v>
      </c>
      <c r="I15" s="31" t="n">
        <v>1159.45</v>
      </c>
      <c r="J15" s="13" t="inlineStr">
        <is>
          <t>Completed</t>
        </is>
      </c>
      <c r="K15" s="13" t="n"/>
      <c r="L15" s="13" t="n"/>
    </row>
    <row r="16">
      <c r="A16" s="13" t="inlineStr">
        <is>
          <t>ClearBox Storage</t>
        </is>
      </c>
      <c r="B16" s="13" t="inlineStr">
        <is>
          <t>Self-Storage</t>
        </is>
      </c>
      <c r="C16" s="13" t="inlineStr">
        <is>
          <t>Exterior Lighting and CCTV</t>
        </is>
      </c>
      <c r="D16" s="13" t="inlineStr">
        <is>
          <t>HVAC</t>
        </is>
      </c>
      <c r="E16" s="14" t="n">
        <v>45334</v>
      </c>
      <c r="F16" s="14" t="n">
        <v>45412</v>
      </c>
      <c r="G16" s="19" t="n">
        <v>165000</v>
      </c>
      <c r="H16" s="19" t="n">
        <v>166499.23</v>
      </c>
      <c r="I16" s="31" t="n">
        <v>1499.23</v>
      </c>
      <c r="J16" s="13" t="inlineStr">
        <is>
          <t>Completed</t>
        </is>
      </c>
      <c r="K16" s="13" t="n"/>
      <c r="L16" s="13" t="n"/>
    </row>
    <row r="17">
      <c r="A17" s="13" t="inlineStr">
        <is>
          <t>SunState Storage</t>
        </is>
      </c>
      <c r="B17" s="13" t="inlineStr">
        <is>
          <t>Self-Storage</t>
        </is>
      </c>
      <c r="C17" s="13" t="inlineStr">
        <is>
          <t>Drive Aisle Resurfacing</t>
        </is>
      </c>
      <c r="D17" s="13" t="inlineStr">
        <is>
          <t>Paving</t>
        </is>
      </c>
      <c r="E17" s="14" t="n">
        <v>45371</v>
      </c>
      <c r="F17" s="14" t="n">
        <v>45514</v>
      </c>
      <c r="G17" s="19" t="n">
        <v>240000</v>
      </c>
      <c r="H17" s="19" t="n">
        <v>267795.95</v>
      </c>
      <c r="I17" s="31" t="n">
        <v>27795.95</v>
      </c>
      <c r="J17" s="13" t="inlineStr">
        <is>
          <t>Completed</t>
        </is>
      </c>
      <c r="K17" s="13" t="n"/>
      <c r="L17" s="13" t="n"/>
    </row>
    <row r="18">
      <c r="A18" s="13" t="inlineStr">
        <is>
          <t>Desert Vault</t>
        </is>
      </c>
      <c r="B18" s="13" t="inlineStr">
        <is>
          <t>Self-Storage</t>
        </is>
      </c>
      <c r="C18" s="13" t="inlineStr">
        <is>
          <t>HVAC Retrofit for Climate Units</t>
        </is>
      </c>
      <c r="D18" s="13" t="inlineStr">
        <is>
          <t>HVAC</t>
        </is>
      </c>
      <c r="E18" s="14" t="n">
        <v>45306</v>
      </c>
      <c r="F18" s="14" t="n">
        <v>45611</v>
      </c>
      <c r="G18" s="19" t="n">
        <v>520000</v>
      </c>
      <c r="H18" s="19" t="n">
        <v>576711.6899999999</v>
      </c>
      <c r="I18" s="31" t="n">
        <v>56711.69</v>
      </c>
      <c r="J18" s="13" t="inlineStr">
        <is>
          <t>Active</t>
        </is>
      </c>
      <c r="K18" s="13" t="n"/>
      <c r="L18" s="13" t="n"/>
    </row>
    <row r="19">
      <c r="A19" s="13" t="inlineStr">
        <is>
          <t>Basin Self Storage</t>
        </is>
      </c>
      <c r="B19" s="13" t="inlineStr">
        <is>
          <t>Self-Storage</t>
        </is>
      </c>
      <c r="C19" s="13" t="inlineStr">
        <is>
          <t>Security Gate and Fence Overhaul</t>
        </is>
      </c>
      <c r="D19" s="13" t="inlineStr">
        <is>
          <t>Fencing</t>
        </is>
      </c>
      <c r="E19" s="14" t="n">
        <v>45383</v>
      </c>
      <c r="F19" s="14" t="n">
        <v>45565</v>
      </c>
      <c r="G19" s="19" t="n">
        <v>210000</v>
      </c>
      <c r="H19" s="19" t="n">
        <v>198494.77</v>
      </c>
      <c r="I19" s="32" t="n">
        <v>-11505.23</v>
      </c>
      <c r="J19" s="13" t="inlineStr">
        <is>
          <t>Completed</t>
        </is>
      </c>
      <c r="K19" s="13" t="n"/>
      <c r="L19" s="13" t="n"/>
    </row>
    <row r="20">
      <c r="A20" s="13" t="inlineStr">
        <is>
          <t>Summit Storage</t>
        </is>
      </c>
      <c r="B20" s="13" t="inlineStr">
        <is>
          <t>Self-Storage</t>
        </is>
      </c>
      <c r="C20" s="13" t="inlineStr">
        <is>
          <t>Leasing Office Interior Refresh</t>
        </is>
      </c>
      <c r="D20" s="13" t="inlineStr">
        <is>
          <t>Clubhouse Renovation</t>
        </is>
      </c>
      <c r="E20" s="14" t="n">
        <v>45474</v>
      </c>
      <c r="F20" s="14" t="n">
        <v>45595</v>
      </c>
      <c r="G20" s="19" t="n">
        <v>125000</v>
      </c>
      <c r="H20" s="19" t="n">
        <v>116794.69</v>
      </c>
      <c r="I20" s="32" t="n">
        <v>-8205.309999999999</v>
      </c>
      <c r="J20" s="13" t="inlineStr">
        <is>
          <t>Completed</t>
        </is>
      </c>
      <c r="K20" s="13" t="n"/>
      <c r="L20" s="13" t="n"/>
    </row>
  </sheetData>
  <mergeCells count="8">
    <mergeCell ref="D3:F5"/>
    <mergeCell ref="G1:I2"/>
    <mergeCell ref="J3:L5"/>
    <mergeCell ref="J1:L2"/>
    <mergeCell ref="A1:C2"/>
    <mergeCell ref="G3:I5"/>
    <mergeCell ref="A3:C5"/>
    <mergeCell ref="D1:F2"/>
  </mergeCells>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L37"/>
  <sheetViews>
    <sheetView workbookViewId="0">
      <pane ySplit="2" topLeftCell="A3" activePane="bottomLeft" state="frozen"/>
      <selection pane="bottomLeft" activeCell="A1" sqref="A1"/>
    </sheetView>
  </sheetViews>
  <sheetFormatPr baseColWidth="8" defaultRowHeight="15"/>
  <cols>
    <col width="35" customWidth="1" min="1" max="1"/>
    <col width="21" customWidth="1" min="2" max="2"/>
    <col width="22" customWidth="1" min="3" max="3"/>
    <col width="18" customWidth="1" min="4" max="4"/>
    <col width="35" customWidth="1" min="5" max="5"/>
    <col width="35" customWidth="1" min="6" max="6"/>
    <col width="35" customWidth="1" min="7" max="7"/>
    <col width="12" customWidth="1" min="8" max="8"/>
    <col width="35" customWidth="1" min="9" max="9"/>
    <col width="12" customWidth="1" min="10" max="10"/>
    <col width="22" customWidth="1" min="11" max="11"/>
    <col width="12" customWidth="1" min="12" max="12"/>
  </cols>
  <sheetData>
    <row r="1">
      <c r="A1" s="33" t="inlineStr">
        <is>
          <t>Executive Portfolio Dashboard</t>
        </is>
      </c>
    </row>
    <row r="2">
      <c r="A2" s="34" t="inlineStr">
        <is>
          <t>Most Recent Month Performance Summary</t>
        </is>
      </c>
    </row>
    <row r="3">
      <c r="A3" s="35" t="inlineStr">
        <is>
          <t>Total Properties</t>
        </is>
      </c>
      <c r="B3" s="27" t="n"/>
      <c r="C3" s="35" t="inlineStr">
        <is>
          <t>Total Units</t>
        </is>
      </c>
      <c r="D3" s="27" t="n"/>
      <c r="E3" s="35" t="inlineStr">
        <is>
          <t>Portfolio Avg Occupancy</t>
        </is>
      </c>
      <c r="F3" s="27" t="n"/>
      <c r="G3" s="35" t="inlineStr">
        <is>
          <t>Total Monthly NOI</t>
        </is>
      </c>
      <c r="H3" s="27" t="n"/>
      <c r="I3" s="35" t="inlineStr">
        <is>
          <t>Avg Delinquency Rate</t>
        </is>
      </c>
      <c r="J3" s="27" t="n"/>
      <c r="K3" s="35" t="inlineStr">
        <is>
          <t>Total AUM</t>
        </is>
      </c>
      <c r="L3" s="27" t="n"/>
    </row>
    <row r="4">
      <c r="A4" s="27" t="n"/>
      <c r="B4" s="27" t="n"/>
      <c r="C4" s="27" t="n"/>
      <c r="D4" s="27" t="n"/>
      <c r="E4" s="27" t="n"/>
      <c r="F4" s="27" t="n"/>
      <c r="G4" s="27" t="n"/>
      <c r="H4" s="27" t="n"/>
      <c r="I4" s="27" t="n"/>
      <c r="J4" s="27" t="n"/>
      <c r="K4" s="27" t="n"/>
      <c r="L4" s="27" t="n"/>
    </row>
    <row r="5">
      <c r="A5" s="30">
        <f>COUNTA(Properties!A2:A1000)</f>
        <v/>
      </c>
      <c r="B5" s="27" t="n"/>
      <c r="C5" s="36">
        <f>SUM(Properties!F:F)</f>
        <v/>
      </c>
      <c r="D5" s="27" t="n"/>
      <c r="E5" s="37">
        <f>SUMIFS(Occupancy!E:E,Occupancy!D:D,MAX(Occupancy!D:D))/SUMIFS(Occupancy!F:F,Occupancy!D:D,MAX(Occupancy!D:D))</f>
        <v/>
      </c>
      <c r="F5" s="27" t="n"/>
      <c r="G5" s="28">
        <f>SUMIFS(Financials!G:G,Financials!D:D,MAX(Financials!D:D))</f>
        <v/>
      </c>
      <c r="H5" s="27" t="n"/>
      <c r="I5" s="37">
        <f>SUMIFS(Delinquency!G:G,Delinquency!D:D,MAX(Delinquency!D:D))/SUMIFS(Delinquency!E:E,Delinquency!D:D,MAX(Delinquency!D:D))</f>
        <v/>
      </c>
      <c r="J5" s="27" t="n"/>
      <c r="K5" s="28">
        <f>SUM(Properties!H:H)</f>
        <v/>
      </c>
      <c r="L5" s="27" t="n"/>
    </row>
    <row r="6">
      <c r="A6" s="27" t="n"/>
      <c r="B6" s="27" t="n"/>
      <c r="C6" s="27" t="n"/>
      <c r="D6" s="27" t="n"/>
      <c r="E6" s="27" t="n"/>
      <c r="F6" s="27" t="n"/>
      <c r="G6" s="27" t="n"/>
      <c r="H6" s="27" t="n"/>
      <c r="I6" s="27" t="n"/>
      <c r="J6" s="27" t="n"/>
      <c r="K6" s="27" t="n"/>
      <c r="L6" s="27" t="n"/>
    </row>
    <row r="7">
      <c r="A7" s="27" t="n"/>
      <c r="B7" s="27" t="n"/>
      <c r="C7" s="27" t="n"/>
      <c r="D7" s="27" t="n"/>
      <c r="E7" s="27" t="n"/>
      <c r="F7" s="27" t="n"/>
      <c r="G7" s="27" t="n"/>
      <c r="H7" s="27" t="n"/>
      <c r="I7" s="27" t="n"/>
      <c r="J7" s="27" t="n"/>
      <c r="K7" s="27" t="n"/>
      <c r="L7" s="27" t="n"/>
    </row>
    <row r="8">
      <c r="A8" s="27" t="n"/>
      <c r="B8" s="27" t="n"/>
      <c r="C8" s="27" t="n"/>
      <c r="D8" s="27" t="n"/>
      <c r="E8" s="27" t="n"/>
      <c r="F8" s="27" t="n"/>
      <c r="G8" s="27" t="n"/>
      <c r="H8" s="27" t="n"/>
      <c r="I8" s="27" t="n"/>
      <c r="J8" s="27" t="n"/>
      <c r="K8" s="27" t="n"/>
      <c r="L8" s="27" t="n"/>
    </row>
    <row r="9">
      <c r="A9" s="38" t="inlineStr">
        <is>
          <t>Dashboard metrics are formula-driven from source tabs where practical.</t>
        </is>
      </c>
    </row>
    <row r="10">
      <c r="A10" s="39" t="inlineStr">
        <is>
          <t>Asset Type Comparison</t>
        </is>
      </c>
    </row>
    <row r="11">
      <c r="A11" s="6" t="inlineStr">
        <is>
          <t>Metric</t>
        </is>
      </c>
      <c r="B11" s="6" t="inlineStr">
        <is>
          <t>MHC</t>
        </is>
      </c>
      <c r="C11" s="6" t="inlineStr">
        <is>
          <t>Self-Storage</t>
        </is>
      </c>
    </row>
    <row r="12">
      <c r="A12" s="13" t="inlineStr">
        <is>
          <t>Avg Occupancy</t>
        </is>
      </c>
      <c r="B12" s="15" t="n">
        <v>0.9038961038961039</v>
      </c>
      <c r="C12" s="15" t="n">
        <v>0.9142857142857143</v>
      </c>
    </row>
    <row r="13">
      <c r="A13" s="13" t="inlineStr">
        <is>
          <t>Avg Delinquency</t>
        </is>
      </c>
      <c r="B13" s="15" t="n">
        <v>0.07907135126575908</v>
      </c>
      <c r="C13" s="15" t="n">
        <v>0.07713781404293374</v>
      </c>
    </row>
    <row r="14">
      <c r="A14" s="13" t="inlineStr">
        <is>
          <t>Total NOI</t>
        </is>
      </c>
      <c r="B14" s="19" t="n">
        <v>272752.12</v>
      </c>
      <c r="C14" s="19" t="n">
        <v>56281.77</v>
      </c>
    </row>
    <row r="15">
      <c r="A15" s="13" t="inlineStr">
        <is>
          <t>Avg NOI Margin</t>
        </is>
      </c>
      <c r="B15" s="15" t="n">
        <v>0.5150428571428571</v>
      </c>
      <c r="C15" s="15" t="n">
        <v>0.40846</v>
      </c>
    </row>
    <row r="16">
      <c r="A16" s="13" t="inlineStr">
        <is>
          <t>Avg Expense Ratio</t>
        </is>
      </c>
      <c r="B16" s="15" t="n">
        <v>0.4849571428571428</v>
      </c>
      <c r="C16" s="15" t="n">
        <v>0.59154</v>
      </c>
    </row>
    <row r="17"/>
    <row r="18"/>
    <row r="19"/>
    <row r="20">
      <c r="A20" s="39" t="inlineStr">
        <is>
          <t>Properties Requiring Attention — Most Recent Month</t>
        </is>
      </c>
    </row>
    <row r="21">
      <c r="A21" s="6" t="inlineStr">
        <is>
          <t>Property Name</t>
        </is>
      </c>
      <c r="B21" s="6" t="inlineStr">
        <is>
          <t>Asset Type</t>
        </is>
      </c>
      <c r="C21" s="6" t="inlineStr">
        <is>
          <t>Occupancy Rate</t>
        </is>
      </c>
      <c r="D21" s="6" t="inlineStr">
        <is>
          <t>Delinquency Rate</t>
        </is>
      </c>
      <c r="E21" s="6" t="inlineStr">
        <is>
          <t>NOI</t>
        </is>
      </c>
      <c r="F21" s="6" t="inlineStr">
        <is>
          <t>NOI Margin</t>
        </is>
      </c>
      <c r="G21" s="6" t="inlineStr">
        <is>
          <t>Risk Label</t>
        </is>
      </c>
    </row>
    <row r="22">
      <c r="A22" s="13" t="inlineStr">
        <is>
          <t>Canyon Ridge</t>
        </is>
      </c>
      <c r="B22" s="13" t="inlineStr">
        <is>
          <t>MHC</t>
        </is>
      </c>
      <c r="C22" s="15" t="n">
        <v>0.8091</v>
      </c>
      <c r="D22" s="15" t="n">
        <v>0.1567</v>
      </c>
      <c r="E22" s="19" t="n">
        <v>30198.87</v>
      </c>
      <c r="F22" s="15" t="n">
        <v>0.4895</v>
      </c>
      <c r="G22" s="40" t="inlineStr">
        <is>
          <t>HIGH RISK</t>
        </is>
      </c>
    </row>
    <row r="23">
      <c r="A23" s="13" t="inlineStr">
        <is>
          <t>SunState Storage</t>
        </is>
      </c>
      <c r="B23" s="13" t="inlineStr">
        <is>
          <t>Self-Storage</t>
        </is>
      </c>
      <c r="C23" s="15" t="n">
        <v>0.9219000000000001</v>
      </c>
      <c r="D23" s="15" t="n">
        <v>0.1268</v>
      </c>
      <c r="E23" s="19" t="n">
        <v>14890.9</v>
      </c>
      <c r="F23" s="15" t="n">
        <v>0.4216</v>
      </c>
      <c r="G23" s="41" t="inlineStr">
        <is>
          <t>DELINQUENCY RISK</t>
        </is>
      </c>
    </row>
    <row r="24">
      <c r="A24" s="13" t="inlineStr">
        <is>
          <t>Mesa Vista</t>
        </is>
      </c>
      <c r="B24" s="13" t="inlineStr">
        <is>
          <t>MHC</t>
        </is>
      </c>
      <c r="C24" s="15" t="n">
        <v>0.9304</v>
      </c>
      <c r="D24" s="15" t="n">
        <v>0.1072</v>
      </c>
      <c r="E24" s="19" t="n">
        <v>38999.85</v>
      </c>
      <c r="F24" s="15" t="n">
        <v>0.5009</v>
      </c>
      <c r="G24" s="41" t="inlineStr">
        <is>
          <t>DELINQUENCY RISK</t>
        </is>
      </c>
    </row>
    <row r="25">
      <c r="A25" s="13" t="inlineStr">
        <is>
          <t>Desert Palms</t>
        </is>
      </c>
      <c r="B25" s="13" t="inlineStr">
        <is>
          <t>MHC</t>
        </is>
      </c>
      <c r="C25" s="15" t="n">
        <v>0.8947000000000001</v>
      </c>
      <c r="D25" s="15" t="n">
        <v>0.0759</v>
      </c>
      <c r="E25" s="19" t="n">
        <v>30195.35</v>
      </c>
      <c r="F25" s="15" t="n">
        <v>0.5069</v>
      </c>
      <c r="G25" s="42" t="inlineStr">
        <is>
          <t>OCCUPANCY RISK</t>
        </is>
      </c>
    </row>
    <row r="26">
      <c r="A26" s="13" t="inlineStr">
        <is>
          <t>Pinon Pines</t>
        </is>
      </c>
      <c r="B26" s="13" t="inlineStr">
        <is>
          <t>MHC</t>
        </is>
      </c>
      <c r="C26" s="15" t="n">
        <v>0.8636</v>
      </c>
      <c r="D26" s="15" t="n">
        <v>0.0743</v>
      </c>
      <c r="E26" s="19" t="n">
        <v>24184.75</v>
      </c>
      <c r="F26" s="15" t="n">
        <v>0.4719</v>
      </c>
      <c r="G26" s="42" t="inlineStr">
        <is>
          <t>OCCUPANCY RISK</t>
        </is>
      </c>
    </row>
    <row r="27">
      <c r="A27" s="13" t="inlineStr">
        <is>
          <t>Basin Self Storage</t>
        </is>
      </c>
      <c r="B27" s="13" t="inlineStr">
        <is>
          <t>Self-Storage</t>
        </is>
      </c>
      <c r="C27" s="15" t="n">
        <v>0.8718</v>
      </c>
      <c r="D27" s="15" t="n">
        <v>0.0672</v>
      </c>
      <c r="E27" s="19" t="n">
        <v>7288.13</v>
      </c>
      <c r="F27" s="15" t="n">
        <v>0.386</v>
      </c>
      <c r="G27" s="42" t="inlineStr">
        <is>
          <t>OCCUPANCY RISK</t>
        </is>
      </c>
    </row>
    <row r="28"/>
    <row r="29">
      <c r="A29" s="43" t="inlineStr">
        <is>
          <t>This exception report combines occupancy, collections risk, and NOI to help asset managers prioritize follow-up.</t>
        </is>
      </c>
    </row>
    <row r="30"/>
    <row r="31">
      <c r="A31" s="44" t="inlineStr">
        <is>
          <t>Top 5 Properties by NOI Margin</t>
        </is>
      </c>
      <c r="F31" s="44" t="inlineStr">
        <is>
          <t>Bottom 5 Properties by NOI Margin</t>
        </is>
      </c>
    </row>
    <row r="32">
      <c r="A32" s="6" t="inlineStr">
        <is>
          <t>Property Name</t>
        </is>
      </c>
      <c r="B32" s="6" t="inlineStr">
        <is>
          <t>Asset Type</t>
        </is>
      </c>
      <c r="C32" s="6" t="inlineStr">
        <is>
          <t>NOI Margin</t>
        </is>
      </c>
      <c r="F32" s="6" t="inlineStr">
        <is>
          <t>Property Name</t>
        </is>
      </c>
      <c r="G32" s="6" t="inlineStr">
        <is>
          <t>Asset Type</t>
        </is>
      </c>
      <c r="H32" s="6" t="inlineStr">
        <is>
          <t>NOI Margin</t>
        </is>
      </c>
    </row>
    <row r="33">
      <c r="A33" s="45" t="inlineStr">
        <is>
          <t>Saguaro Estates</t>
        </is>
      </c>
      <c r="B33" s="45" t="inlineStr">
        <is>
          <t>MHC</t>
        </is>
      </c>
      <c r="C33" s="46" t="n">
        <v>0.5849</v>
      </c>
      <c r="D33" s="13" t="n"/>
      <c r="E33" s="13" t="n"/>
      <c r="F33" s="13" t="inlineStr">
        <is>
          <t>Desert Vault</t>
        </is>
      </c>
      <c r="G33" s="13" t="inlineStr">
        <is>
          <t>Self-Storage</t>
        </is>
      </c>
      <c r="H33" s="15" t="n">
        <v>0.3258</v>
      </c>
    </row>
    <row r="34">
      <c r="A34" s="45" t="inlineStr">
        <is>
          <t>Red Rock Commons</t>
        </is>
      </c>
      <c r="B34" s="45" t="inlineStr">
        <is>
          <t>MHC</t>
        </is>
      </c>
      <c r="C34" s="46" t="n">
        <v>0.536</v>
      </c>
      <c r="D34" s="13" t="n"/>
      <c r="E34" s="13" t="n"/>
      <c r="F34" s="13" t="inlineStr">
        <is>
          <t>Basin Self Storage</t>
        </is>
      </c>
      <c r="G34" s="13" t="inlineStr">
        <is>
          <t>Self-Storage</t>
        </is>
      </c>
      <c r="H34" s="15" t="n">
        <v>0.386</v>
      </c>
    </row>
    <row r="35">
      <c r="A35" s="45" t="inlineStr">
        <is>
          <t>Sunrise Meadows</t>
        </is>
      </c>
      <c r="B35" s="45" t="inlineStr">
        <is>
          <t>MHC</t>
        </is>
      </c>
      <c r="C35" s="46" t="n">
        <v>0.5152</v>
      </c>
      <c r="D35" s="13" t="n"/>
      <c r="E35" s="13" t="n"/>
      <c r="F35" s="13" t="inlineStr">
        <is>
          <t>SunState Storage</t>
        </is>
      </c>
      <c r="G35" s="13" t="inlineStr">
        <is>
          <t>Self-Storage</t>
        </is>
      </c>
      <c r="H35" s="15" t="n">
        <v>0.4216</v>
      </c>
    </row>
    <row r="36">
      <c r="A36" s="45" t="inlineStr">
        <is>
          <t>Desert Palms</t>
        </is>
      </c>
      <c r="B36" s="45" t="inlineStr">
        <is>
          <t>MHC</t>
        </is>
      </c>
      <c r="C36" s="46" t="n">
        <v>0.5069</v>
      </c>
      <c r="D36" s="13" t="n"/>
      <c r="E36" s="13" t="n"/>
      <c r="F36" s="13" t="inlineStr">
        <is>
          <t>Summit Storage</t>
        </is>
      </c>
      <c r="G36" s="13" t="inlineStr">
        <is>
          <t>Self-Storage</t>
        </is>
      </c>
      <c r="H36" s="15" t="n">
        <v>0.4343</v>
      </c>
    </row>
    <row r="37">
      <c r="A37" s="45" t="inlineStr">
        <is>
          <t>Mesa Vista</t>
        </is>
      </c>
      <c r="B37" s="45" t="inlineStr">
        <is>
          <t>MHC</t>
        </is>
      </c>
      <c r="C37" s="46" t="n">
        <v>0.5009</v>
      </c>
      <c r="D37" s="13" t="n"/>
      <c r="E37" s="13" t="n"/>
      <c r="F37" s="13" t="inlineStr">
        <is>
          <t>Pinon Pines</t>
        </is>
      </c>
      <c r="G37" s="13" t="inlineStr">
        <is>
          <t>MHC</t>
        </is>
      </c>
      <c r="H37" s="15" t="n">
        <v>0.4719</v>
      </c>
    </row>
  </sheetData>
  <mergeCells count="20">
    <mergeCell ref="I3:J4"/>
    <mergeCell ref="A20:G20"/>
    <mergeCell ref="G5:H8"/>
    <mergeCell ref="I5:J8"/>
    <mergeCell ref="A2:L2"/>
    <mergeCell ref="A5:B8"/>
    <mergeCell ref="F31:H31"/>
    <mergeCell ref="C3:D4"/>
    <mergeCell ref="E3:F4"/>
    <mergeCell ref="K3:L4"/>
    <mergeCell ref="A10:C10"/>
    <mergeCell ref="A29:I29"/>
    <mergeCell ref="A31:C31"/>
    <mergeCell ref="C5:D8"/>
    <mergeCell ref="A9:L9"/>
    <mergeCell ref="K5:L8"/>
    <mergeCell ref="E5:F8"/>
    <mergeCell ref="A1:L1"/>
    <mergeCell ref="A3:B4"/>
    <mergeCell ref="G3:H4"/>
  </mergeCells>
  <pageMargins left="0.75" right="0.75" top="1" bottom="1" header="0.5" footer="0.5"/>
</worksheet>
</file>

<file path=xl/worksheets/sheet9.xml><?xml version="1.0" encoding="utf-8"?>
<worksheet xmlns="http://schemas.openxmlformats.org/spreadsheetml/2006/main">
  <sheetPr>
    <tabColor rgb="00FFD700"/>
    <outlinePr summaryBelow="1" summaryRight="1"/>
    <pageSetUpPr/>
  </sheetPr>
  <dimension ref="A1:G60"/>
  <sheetViews>
    <sheetView workbookViewId="0">
      <selection activeCell="A1" sqref="A1"/>
    </sheetView>
  </sheetViews>
  <sheetFormatPr baseColWidth="8" defaultRowHeight="15"/>
  <cols>
    <col width="35" customWidth="1" min="1" max="1"/>
    <col width="35" customWidth="1" min="2" max="2"/>
    <col width="35" customWidth="1" min="3" max="3"/>
    <col width="35" customWidth="1" min="4" max="4"/>
    <col width="35" customWidth="1" min="5" max="5"/>
    <col width="35" customWidth="1" min="6" max="6"/>
    <col width="12" customWidth="1" min="7" max="7"/>
  </cols>
  <sheetData>
    <row r="1">
      <c r="A1" s="47" t="inlineStr">
        <is>
          <t>Acquisition Underwriting — MHC-05 Pinon Pines</t>
        </is>
      </c>
    </row>
    <row r="2">
      <c r="A2" s="48" t="inlineStr">
        <is>
          <t>Underwriting Assumptions</t>
        </is>
      </c>
    </row>
    <row r="3">
      <c r="A3" s="49" t="inlineStr">
        <is>
          <t>Assumption</t>
        </is>
      </c>
      <c r="B3" s="49" t="inlineStr">
        <is>
          <t>Value</t>
        </is>
      </c>
    </row>
    <row r="4">
      <c r="A4" s="50" t="inlineStr">
        <is>
          <t>Purchase Price</t>
        </is>
      </c>
      <c r="B4" s="51" t="n">
        <v>4200000</v>
      </c>
    </row>
    <row r="5">
      <c r="A5" s="50" t="inlineStr">
        <is>
          <t>Total Units</t>
        </is>
      </c>
      <c r="B5" s="52" t="n">
        <v>88</v>
      </c>
    </row>
    <row r="6">
      <c r="A6" s="50" t="inlineStr">
        <is>
          <t>Current Occupancy</t>
        </is>
      </c>
      <c r="B6" s="53" t="n">
        <v>0.82</v>
      </c>
    </row>
    <row r="7">
      <c r="A7" s="50" t="inlineStr">
        <is>
          <t>Stabilized Occupancy Target</t>
        </is>
      </c>
      <c r="B7" s="53" t="n">
        <v>0.93</v>
      </c>
    </row>
    <row r="8">
      <c r="A8" s="50" t="inlineStr">
        <is>
          <t>Current Avg Monthly Rent per Lot</t>
        </is>
      </c>
      <c r="B8" s="51" t="n">
        <v>720</v>
      </c>
    </row>
    <row r="9">
      <c r="A9" s="50" t="inlineStr">
        <is>
          <t>Market Avg Rent</t>
        </is>
      </c>
      <c r="B9" s="51" t="n">
        <v>810</v>
      </c>
    </row>
    <row r="10">
      <c r="A10" s="50" t="inlineStr">
        <is>
          <t>Year 1 Rent Growth</t>
        </is>
      </c>
      <c r="B10" s="53" t="n">
        <v>0.045</v>
      </c>
    </row>
    <row r="11">
      <c r="A11" s="50" t="inlineStr">
        <is>
          <t>Years 2-5 Rent Growth</t>
        </is>
      </c>
      <c r="B11" s="53" t="n">
        <v>0.03</v>
      </c>
    </row>
    <row r="12">
      <c r="A12" s="50" t="inlineStr">
        <is>
          <t>Operating Expense Ratio Year 1</t>
        </is>
      </c>
      <c r="B12" s="53" t="n">
        <v>0.48</v>
      </c>
    </row>
    <row r="13">
      <c r="A13" s="50" t="inlineStr">
        <is>
          <t>Expense Ratio Improvement</t>
        </is>
      </c>
      <c r="B13" s="53" t="n">
        <v>-0.01</v>
      </c>
    </row>
    <row r="14">
      <c r="A14" s="50" t="inlineStr">
        <is>
          <t>Renovation CapEx Year 1</t>
        </is>
      </c>
      <c r="B14" s="51" t="n">
        <v>380000</v>
      </c>
    </row>
    <row r="15">
      <c r="A15" s="50" t="inlineStr">
        <is>
          <t>Exit Cap Rate</t>
        </is>
      </c>
      <c r="B15" s="54" t="n">
        <v>0.0625</v>
      </c>
    </row>
    <row r="16">
      <c r="A16" s="50" t="inlineStr">
        <is>
          <t>Loan Amount</t>
        </is>
      </c>
      <c r="B16" s="51">
        <f>B4*65%</f>
        <v/>
      </c>
    </row>
    <row r="17">
      <c r="A17" s="50" t="inlineStr">
        <is>
          <t>Interest Rate</t>
        </is>
      </c>
      <c r="B17" s="53" t="n">
        <v>0.068</v>
      </c>
    </row>
    <row r="18">
      <c r="A18" s="50" t="inlineStr">
        <is>
          <t>Loan Term</t>
        </is>
      </c>
      <c r="B18" s="52" t="n">
        <v>10</v>
      </c>
    </row>
    <row r="19">
      <c r="A19" s="50" t="inlineStr">
        <is>
          <t>Acquisition Costs</t>
        </is>
      </c>
      <c r="B19" s="51">
        <f>B4*2.5%</f>
        <v/>
      </c>
    </row>
    <row r="20">
      <c r="A20" s="50" t="inlineStr">
        <is>
          <t>Initial Equity</t>
        </is>
      </c>
      <c r="B20" s="51">
        <f>B4-B16+B14+B19</f>
        <v/>
      </c>
    </row>
    <row r="21"/>
    <row r="22">
      <c r="A22" s="48" t="inlineStr">
        <is>
          <t>5-Year Operating Pro Forma</t>
        </is>
      </c>
    </row>
    <row r="23">
      <c r="A23" s="6" t="inlineStr">
        <is>
          <t>Metric</t>
        </is>
      </c>
      <c r="B23" s="6" t="inlineStr">
        <is>
          <t>Year 1</t>
        </is>
      </c>
      <c r="C23" s="6" t="inlineStr">
        <is>
          <t>Year 2</t>
        </is>
      </c>
      <c r="D23" s="6" t="inlineStr">
        <is>
          <t>Year 3</t>
        </is>
      </c>
      <c r="E23" s="6" t="inlineStr">
        <is>
          <t>Year 4</t>
        </is>
      </c>
      <c r="F23" s="6" t="inlineStr">
        <is>
          <t>Year 5</t>
        </is>
      </c>
    </row>
    <row r="24">
      <c r="A24" s="50" t="inlineStr">
        <is>
          <t>Occupied Units</t>
        </is>
      </c>
      <c r="B24" s="55">
        <f>$B$5*B25</f>
        <v/>
      </c>
      <c r="C24" s="55">
        <f>$B$5*C25</f>
        <v/>
      </c>
      <c r="D24" s="55">
        <f>$B$5*D25</f>
        <v/>
      </c>
      <c r="E24" s="55">
        <f>$B$5*E25</f>
        <v/>
      </c>
      <c r="F24" s="55">
        <f>$B$5*F25</f>
        <v/>
      </c>
    </row>
    <row r="25">
      <c r="A25" s="50" t="inlineStr">
        <is>
          <t>Occupancy Rate</t>
        </is>
      </c>
      <c r="B25" s="56">
        <f>MAX(84%,$B$6+2%)</f>
        <v/>
      </c>
      <c r="C25" s="56">
        <f>B25+($B$7-B25)/4</f>
        <v/>
      </c>
      <c r="D25" s="56">
        <f>C25+($B$7-B25)/4</f>
        <v/>
      </c>
      <c r="E25" s="56">
        <f>D25+($B$7-B25)/4</f>
        <v/>
      </c>
      <c r="F25" s="56">
        <f>$B$7</f>
        <v/>
      </c>
    </row>
    <row r="26">
      <c r="A26" s="50" t="inlineStr">
        <is>
          <t>Avg Monthly Rent</t>
        </is>
      </c>
      <c r="B26" s="57">
        <f>$B$8*(1+$B$10)</f>
        <v/>
      </c>
      <c r="C26" s="57">
        <f>B26*(1+$B$11)</f>
        <v/>
      </c>
      <c r="D26" s="57">
        <f>C26*(1+$B$11)</f>
        <v/>
      </c>
      <c r="E26" s="57">
        <f>D26*(1+$B$11)</f>
        <v/>
      </c>
      <c r="F26" s="57">
        <f>E26*(1+$B$11)</f>
        <v/>
      </c>
    </row>
    <row r="27">
      <c r="A27" s="50" t="inlineStr">
        <is>
          <t>Gross Potential Rent Annual</t>
        </is>
      </c>
      <c r="B27" s="57">
        <f>$B$5*B26*12</f>
        <v/>
      </c>
      <c r="C27" s="57">
        <f>$B$5*C26*12</f>
        <v/>
      </c>
      <c r="D27" s="57">
        <f>$B$5*D26*12</f>
        <v/>
      </c>
      <c r="E27" s="57">
        <f>$B$5*E26*12</f>
        <v/>
      </c>
      <c r="F27" s="57">
        <f>$B$5*F26*12</f>
        <v/>
      </c>
    </row>
    <row r="28">
      <c r="A28" s="50" t="inlineStr">
        <is>
          <t>Vacancy Loss</t>
        </is>
      </c>
      <c r="B28" s="57">
        <f>B27*(1-B25)</f>
        <v/>
      </c>
      <c r="C28" s="57">
        <f>C27*(1-C25)</f>
        <v/>
      </c>
      <c r="D28" s="57">
        <f>D27*(1-D25)</f>
        <v/>
      </c>
      <c r="E28" s="57">
        <f>E27*(1-E25)</f>
        <v/>
      </c>
      <c r="F28" s="57">
        <f>F27*(1-F25)</f>
        <v/>
      </c>
    </row>
    <row r="29">
      <c r="A29" s="50" t="inlineStr">
        <is>
          <t>Effective Gross Income</t>
        </is>
      </c>
      <c r="B29" s="57">
        <f>B27-B28</f>
        <v/>
      </c>
      <c r="C29" s="57">
        <f>C27-C28</f>
        <v/>
      </c>
      <c r="D29" s="57">
        <f>D27-D28</f>
        <v/>
      </c>
      <c r="E29" s="57">
        <f>E27-E28</f>
        <v/>
      </c>
      <c r="F29" s="57">
        <f>F27-F28</f>
        <v/>
      </c>
    </row>
    <row r="30">
      <c r="A30" s="50" t="inlineStr">
        <is>
          <t>Operating Expenses</t>
        </is>
      </c>
      <c r="B30" s="57">
        <f>B29*($B$12+(COLUMN(B30)-COLUMN($B$30))*$B$13)</f>
        <v/>
      </c>
      <c r="C30" s="57">
        <f>C29*($B$12+(COLUMN(C30)-COLUMN($B$30))*$B$13)</f>
        <v/>
      </c>
      <c r="D30" s="57">
        <f>D29*($B$12+(COLUMN(D30)-COLUMN($B$30))*$B$13)</f>
        <v/>
      </c>
      <c r="E30" s="57">
        <f>E29*($B$12+(COLUMN(E30)-COLUMN($B$30))*$B$13)</f>
        <v/>
      </c>
      <c r="F30" s="57">
        <f>F29*($B$12+(COLUMN(F30)-COLUMN($B$30))*$B$13)</f>
        <v/>
      </c>
    </row>
    <row r="31">
      <c r="A31" s="50" t="inlineStr">
        <is>
          <t>NOI</t>
        </is>
      </c>
      <c r="B31" s="57">
        <f>B29-B30</f>
        <v/>
      </c>
      <c r="C31" s="57">
        <f>C29-C30</f>
        <v/>
      </c>
      <c r="D31" s="57">
        <f>D29-D30</f>
        <v/>
      </c>
      <c r="E31" s="57">
        <f>E29-E30</f>
        <v/>
      </c>
      <c r="F31" s="57">
        <f>F29-F30</f>
        <v/>
      </c>
    </row>
    <row r="32">
      <c r="A32" s="50" t="inlineStr">
        <is>
          <t>NOI Margin %</t>
        </is>
      </c>
      <c r="B32" s="56">
        <f>IFERROR(B31/B29,0)</f>
        <v/>
      </c>
      <c r="C32" s="56">
        <f>IFERROR(C31/C29,0)</f>
        <v/>
      </c>
      <c r="D32" s="56">
        <f>IFERROR(D31/D29,0)</f>
        <v/>
      </c>
      <c r="E32" s="56">
        <f>IFERROR(E31/E29,0)</f>
        <v/>
      </c>
      <c r="F32" s="56">
        <f>IFERROR(F31/F29,0)</f>
        <v/>
      </c>
    </row>
    <row r="33">
      <c r="A33" s="50" t="inlineStr">
        <is>
          <t>Debt Service Annual P&amp;I</t>
        </is>
      </c>
      <c r="B33" s="57">
        <f>-PMT($B$17,$B$18,$B$16)</f>
        <v/>
      </c>
      <c r="C33" s="57">
        <f>-PMT($B$17,$B$18,$B$16)</f>
        <v/>
      </c>
      <c r="D33" s="57">
        <f>-PMT($B$17,$B$18,$B$16)</f>
        <v/>
      </c>
      <c r="E33" s="57">
        <f>-PMT($B$17,$B$18,$B$16)</f>
        <v/>
      </c>
      <c r="F33" s="57">
        <f>-PMT($B$17,$B$18,$B$16)</f>
        <v/>
      </c>
    </row>
    <row r="34">
      <c r="A34" s="50" t="inlineStr">
        <is>
          <t>Net Cash Flow After Debt</t>
        </is>
      </c>
      <c r="B34" s="57">
        <f>B31-B33</f>
        <v/>
      </c>
      <c r="C34" s="57">
        <f>C31-C33</f>
        <v/>
      </c>
      <c r="D34" s="57">
        <f>D31-D33</f>
        <v/>
      </c>
      <c r="E34" s="57">
        <f>E31-E33</f>
        <v/>
      </c>
      <c r="F34" s="57">
        <f>F31-F33</f>
        <v/>
      </c>
    </row>
    <row r="35">
      <c r="A35" s="50" t="inlineStr">
        <is>
          <t>Cash-on-Cash Return</t>
        </is>
      </c>
      <c r="B35" s="56">
        <f>IFERROR(B34/$B$20,0)</f>
        <v/>
      </c>
      <c r="C35" s="56">
        <f>IFERROR(C34/$B$20,0)</f>
        <v/>
      </c>
      <c r="D35" s="56">
        <f>IFERROR(D34/$B$20,0)</f>
        <v/>
      </c>
      <c r="E35" s="56">
        <f>IFERROR(E34/$B$20,0)</f>
        <v/>
      </c>
      <c r="F35" s="56">
        <f>IFERROR(F34/$B$20,0)</f>
        <v/>
      </c>
    </row>
    <row r="36">
      <c r="A36" s="50" t="inlineStr">
        <is>
          <t>Cumulative Cash Flow</t>
        </is>
      </c>
      <c r="B36" s="57">
        <f>B34</f>
        <v/>
      </c>
      <c r="C36" s="57">
        <f>B36+C34</f>
        <v/>
      </c>
      <c r="D36" s="57">
        <f>C36+D34</f>
        <v/>
      </c>
      <c r="E36" s="57">
        <f>D36+E34</f>
        <v/>
      </c>
      <c r="F36" s="57">
        <f>E36+F34</f>
        <v/>
      </c>
    </row>
    <row r="37"/>
    <row r="38"/>
    <row r="39">
      <c r="A39" s="58" t="inlineStr">
        <is>
          <t>Exit Analysis</t>
        </is>
      </c>
    </row>
    <row r="40">
      <c r="A40" s="50" t="inlineStr">
        <is>
          <t>Year 5 Exit Value</t>
        </is>
      </c>
      <c r="B40" s="57">
        <f>F31/$B$15</f>
        <v/>
      </c>
    </row>
    <row r="41">
      <c r="A41" s="50" t="inlineStr">
        <is>
          <t>Remaining Loan Balance after 5 years</t>
        </is>
      </c>
      <c r="B41" s="57">
        <f>$B$16*(1+$B$17)^5-B33*(((1+$B$17)^5-1)/$B$17)</f>
        <v/>
      </c>
    </row>
    <row r="42">
      <c r="A42" s="50" t="inlineStr">
        <is>
          <t>Net Proceeds</t>
        </is>
      </c>
      <c r="B42" s="57">
        <f>B41-B42</f>
        <v/>
      </c>
    </row>
    <row r="43">
      <c r="A43" s="50" t="inlineStr">
        <is>
          <t>Cumulative Cash Flow</t>
        </is>
      </c>
      <c r="B43" s="57">
        <f>F36</f>
        <v/>
      </c>
    </row>
    <row r="44">
      <c r="A44" s="50" t="inlineStr">
        <is>
          <t>Total Return</t>
        </is>
      </c>
      <c r="B44" s="57">
        <f>B43+B44</f>
        <v/>
      </c>
    </row>
    <row r="45">
      <c r="A45" s="50" t="inlineStr">
        <is>
          <t>Initial Equity</t>
        </is>
      </c>
      <c r="B45" s="57">
        <f>B20</f>
        <v/>
      </c>
    </row>
    <row r="46">
      <c r="A46" s="50" t="inlineStr">
        <is>
          <t>Equity Multiple</t>
        </is>
      </c>
      <c r="B46" s="59">
        <f>IFERROR(B45/B46,0)</f>
        <v/>
      </c>
    </row>
    <row r="47">
      <c r="A47" s="50" t="inlineStr">
        <is>
          <t>IRR</t>
        </is>
      </c>
      <c r="B47" s="56">
        <f>IRR(B49:G49)</f>
        <v/>
      </c>
    </row>
    <row r="48"/>
    <row r="49">
      <c r="A49" s="60" t="inlineStr">
        <is>
          <t>IRR Cash Flows (Year 0 to Year 5)</t>
        </is>
      </c>
      <c r="B49" s="57">
        <f>-$B$20</f>
        <v/>
      </c>
      <c r="C49" s="57">
        <f>B34</f>
        <v/>
      </c>
      <c r="D49" s="57">
        <f>C34</f>
        <v/>
      </c>
      <c r="E49" s="57">
        <f>D34</f>
        <v/>
      </c>
      <c r="F49" s="57">
        <f>E34</f>
        <v/>
      </c>
      <c r="G49" s="57">
        <f>F34+$B$43</f>
        <v/>
      </c>
    </row>
    <row r="50">
      <c r="A50" s="58" t="inlineStr">
        <is>
          <t>IRR Sensitivity — Exit Cap Rate vs Year 5 NOI Scenario</t>
        </is>
      </c>
    </row>
    <row r="51">
      <c r="A51" s="6" t="inlineStr">
        <is>
          <t>Exit Cap Rate</t>
        </is>
      </c>
      <c r="B51" s="6" t="inlineStr">
        <is>
          <t>−5%</t>
        </is>
      </c>
      <c r="C51" s="6" t="inlineStr">
        <is>
          <t>0%</t>
        </is>
      </c>
      <c r="D51" s="6" t="inlineStr">
        <is>
          <t>Base</t>
        </is>
      </c>
      <c r="E51" s="6" t="inlineStr">
        <is>
          <t>+5%</t>
        </is>
      </c>
      <c r="F51" s="6" t="inlineStr">
        <is>
          <t>+10%</t>
        </is>
      </c>
    </row>
    <row r="52"/>
    <row r="53">
      <c r="B53" s="61" t="n">
        <v>0.95</v>
      </c>
      <c r="C53" s="61" t="n">
        <v>1</v>
      </c>
      <c r="D53" s="61" t="n">
        <v>1</v>
      </c>
      <c r="E53" s="61" t="n">
        <v>1.05</v>
      </c>
      <c r="F53" s="61" t="n">
        <v>1.1</v>
      </c>
    </row>
    <row r="54">
      <c r="A54" s="62" t="n">
        <v>0.055</v>
      </c>
      <c r="B54" s="56">
        <f>IRR(CHOOSE(ROW(INDIRECT("1:6")),-$B$20,$B$34,$C$34,$D$34,$E$34,$F$34+((($F$31*B$53)/$A54)-$B$42)))</f>
        <v/>
      </c>
      <c r="C54" s="56">
        <f>IRR(CHOOSE(ROW(INDIRECT("1:6")),-$B$20,$B$34,$C$34,$D$34,$E$34,$F$34+((($F$31*C$53)/$A54)-$B$42)))</f>
        <v/>
      </c>
      <c r="D54" s="56">
        <f>IRR(CHOOSE(ROW(INDIRECT("1:6")),-$B$20,$B$34,$C$34,$D$34,$E$34,$F$34+((($F$31*D$53)/$A54)-$B$42)))</f>
        <v/>
      </c>
      <c r="E54" s="56">
        <f>IRR(CHOOSE(ROW(INDIRECT("1:6")),-$B$20,$B$34,$C$34,$D$34,$E$34,$F$34+((($F$31*E$53)/$A54)-$B$42)))</f>
        <v/>
      </c>
      <c r="F54" s="56">
        <f>IRR(CHOOSE(ROW(INDIRECT("1:6")),-$B$20,$B$34,$C$34,$D$34,$E$34,$F$34+((($F$31*F$53)/$A54)-$B$42)))</f>
        <v/>
      </c>
    </row>
    <row r="55">
      <c r="A55" s="62" t="n">
        <v>0.0575</v>
      </c>
      <c r="B55" s="56">
        <f>IRR(CHOOSE(ROW(INDIRECT("1:6")),-$B$20,$B$34,$C$34,$D$34,$E$34,$F$34+((($F$31*B$53)/$A55)-$B$42)))</f>
        <v/>
      </c>
      <c r="C55" s="56">
        <f>IRR(CHOOSE(ROW(INDIRECT("1:6")),-$B$20,$B$34,$C$34,$D$34,$E$34,$F$34+((($F$31*C$53)/$A55)-$B$42)))</f>
        <v/>
      </c>
      <c r="D55" s="56">
        <f>IRR(CHOOSE(ROW(INDIRECT("1:6")),-$B$20,$B$34,$C$34,$D$34,$E$34,$F$34+((($F$31*D$53)/$A55)-$B$42)))</f>
        <v/>
      </c>
      <c r="E55" s="56">
        <f>IRR(CHOOSE(ROW(INDIRECT("1:6")),-$B$20,$B$34,$C$34,$D$34,$E$34,$F$34+((($F$31*E$53)/$A55)-$B$42)))</f>
        <v/>
      </c>
      <c r="F55" s="56">
        <f>IRR(CHOOSE(ROW(INDIRECT("1:6")),-$B$20,$B$34,$C$34,$D$34,$E$34,$F$34+((($F$31*F$53)/$A55)-$B$42)))</f>
        <v/>
      </c>
    </row>
    <row r="56">
      <c r="A56" s="62" t="n">
        <v>0.06</v>
      </c>
      <c r="B56" s="56">
        <f>IRR(CHOOSE(ROW(INDIRECT("1:6")),-$B$20,$B$34,$C$34,$D$34,$E$34,$F$34+((($F$31*B$53)/$A56)-$B$42)))</f>
        <v/>
      </c>
      <c r="C56" s="56">
        <f>IRR(CHOOSE(ROW(INDIRECT("1:6")),-$B$20,$B$34,$C$34,$D$34,$E$34,$F$34+((($F$31*C$53)/$A56)-$B$42)))</f>
        <v/>
      </c>
      <c r="D56" s="56">
        <f>IRR(CHOOSE(ROW(INDIRECT("1:6")),-$B$20,$B$34,$C$34,$D$34,$E$34,$F$34+((($F$31*D$53)/$A56)-$B$42)))</f>
        <v/>
      </c>
      <c r="E56" s="56">
        <f>IRR(CHOOSE(ROW(INDIRECT("1:6")),-$B$20,$B$34,$C$34,$D$34,$E$34,$F$34+((($F$31*E$53)/$A56)-$B$42)))</f>
        <v/>
      </c>
      <c r="F56" s="56">
        <f>IRR(CHOOSE(ROW(INDIRECT("1:6")),-$B$20,$B$34,$C$34,$D$34,$E$34,$F$34+((($F$31*F$53)/$A56)-$B$42)))</f>
        <v/>
      </c>
    </row>
    <row r="57">
      <c r="A57" s="62" t="n">
        <v>0.0625</v>
      </c>
      <c r="B57" s="56">
        <f>IRR(CHOOSE(ROW(INDIRECT("1:6")),-$B$20,$B$34,$C$34,$D$34,$E$34,$F$34+((($F$31*B$53)/$A57)-$B$42)))</f>
        <v/>
      </c>
      <c r="C57" s="56">
        <f>IRR(CHOOSE(ROW(INDIRECT("1:6")),-$B$20,$B$34,$C$34,$D$34,$E$34,$F$34+((($F$31*C$53)/$A57)-$B$42)))</f>
        <v/>
      </c>
      <c r="D57" s="56">
        <f>IRR(CHOOSE(ROW(INDIRECT("1:6")),-$B$20,$B$34,$C$34,$D$34,$E$34,$F$34+((($F$31*D$53)/$A57)-$B$42)))</f>
        <v/>
      </c>
      <c r="E57" s="56">
        <f>IRR(CHOOSE(ROW(INDIRECT("1:6")),-$B$20,$B$34,$C$34,$D$34,$E$34,$F$34+((($F$31*E$53)/$A57)-$B$42)))</f>
        <v/>
      </c>
      <c r="F57" s="56">
        <f>IRR(CHOOSE(ROW(INDIRECT("1:6")),-$B$20,$B$34,$C$34,$D$34,$E$34,$F$34+((($F$31*F$53)/$A57)-$B$42)))</f>
        <v/>
      </c>
    </row>
    <row r="58">
      <c r="A58" s="62" t="n">
        <v>0.065</v>
      </c>
      <c r="B58" s="56">
        <f>IRR(CHOOSE(ROW(INDIRECT("1:6")),-$B$20,$B$34,$C$34,$D$34,$E$34,$F$34+((($F$31*B$53)/$A58)-$B$42)))</f>
        <v/>
      </c>
      <c r="C58" s="56">
        <f>IRR(CHOOSE(ROW(INDIRECT("1:6")),-$B$20,$B$34,$C$34,$D$34,$E$34,$F$34+((($F$31*C$53)/$A58)-$B$42)))</f>
        <v/>
      </c>
      <c r="D58" s="56">
        <f>IRR(CHOOSE(ROW(INDIRECT("1:6")),-$B$20,$B$34,$C$34,$D$34,$E$34,$F$34+((($F$31*D$53)/$A58)-$B$42)))</f>
        <v/>
      </c>
      <c r="E58" s="56">
        <f>IRR(CHOOSE(ROW(INDIRECT("1:6")),-$B$20,$B$34,$C$34,$D$34,$E$34,$F$34+((($F$31*E$53)/$A58)-$B$42)))</f>
        <v/>
      </c>
      <c r="F58" s="56">
        <f>IRR(CHOOSE(ROW(INDIRECT("1:6")),-$B$20,$B$34,$C$34,$D$34,$E$34,$F$34+((($F$31*F$53)/$A58)-$B$42)))</f>
        <v/>
      </c>
    </row>
    <row r="59">
      <c r="A59" s="62" t="n">
        <v>0.0675</v>
      </c>
      <c r="B59" s="56">
        <f>IRR(CHOOSE(ROW(INDIRECT("1:6")),-$B$20,$B$34,$C$34,$D$34,$E$34,$F$34+((($F$31*B$53)/$A59)-$B$42)))</f>
        <v/>
      </c>
      <c r="C59" s="56">
        <f>IRR(CHOOSE(ROW(INDIRECT("1:6")),-$B$20,$B$34,$C$34,$D$34,$E$34,$F$34+((($F$31*C$53)/$A59)-$B$42)))</f>
        <v/>
      </c>
      <c r="D59" s="56">
        <f>IRR(CHOOSE(ROW(INDIRECT("1:6")),-$B$20,$B$34,$C$34,$D$34,$E$34,$F$34+((($F$31*D$53)/$A59)-$B$42)))</f>
        <v/>
      </c>
      <c r="E59" s="56">
        <f>IRR(CHOOSE(ROW(INDIRECT("1:6")),-$B$20,$B$34,$C$34,$D$34,$E$34,$F$34+((($F$31*E$53)/$A59)-$B$42)))</f>
        <v/>
      </c>
      <c r="F59" s="56">
        <f>IRR(CHOOSE(ROW(INDIRECT("1:6")),-$B$20,$B$34,$C$34,$D$34,$E$34,$F$34+((($F$31*F$53)/$A59)-$B$42)))</f>
        <v/>
      </c>
    </row>
    <row r="60">
      <c r="A60" s="62" t="n">
        <v>0.07000000000000001</v>
      </c>
      <c r="B60" s="56">
        <f>IRR(CHOOSE(ROW(INDIRECT("1:6")),-$B$20,$B$34,$C$34,$D$34,$E$34,$F$34+((($F$31*B$53)/$A60)-$B$42)))</f>
        <v/>
      </c>
      <c r="C60" s="56">
        <f>IRR(CHOOSE(ROW(INDIRECT("1:6")),-$B$20,$B$34,$C$34,$D$34,$E$34,$F$34+((($F$31*C$53)/$A60)-$B$42)))</f>
        <v/>
      </c>
      <c r="D60" s="56">
        <f>IRR(CHOOSE(ROW(INDIRECT("1:6")),-$B$20,$B$34,$C$34,$D$34,$E$34,$F$34+((($F$31*D$53)/$A60)-$B$42)))</f>
        <v/>
      </c>
      <c r="E60" s="56">
        <f>IRR(CHOOSE(ROW(INDIRECT("1:6")),-$B$20,$B$34,$C$34,$D$34,$E$34,$F$34+((($F$31*E$53)/$A60)-$B$42)))</f>
        <v/>
      </c>
      <c r="F60" s="56">
        <f>IRR(CHOOSE(ROW(INDIRECT("1:6")),-$B$20,$B$34,$C$34,$D$34,$E$34,$F$34+((($F$31*F$53)/$A60)-$B$42)))</f>
        <v/>
      </c>
    </row>
  </sheetData>
  <mergeCells count="5">
    <mergeCell ref="A1:F1"/>
    <mergeCell ref="A39:D39"/>
    <mergeCell ref="A22:F22"/>
    <mergeCell ref="A50:F50"/>
    <mergeCell ref="A2:C2"/>
  </mergeCells>
  <conditionalFormatting sqref="B54:F60">
    <cfRule type="cellIs" priority="1" operator="greaterThan" dxfId="0">
      <formula>0.15</formula>
    </cfRule>
    <cfRule type="cellIs" priority="2" operator="between" dxfId="1">
      <formula>0.10</formula>
      <formula>0.15</formula>
    </cfRule>
    <cfRule type="cellIs" priority="3" operator="lessThan" dxfId="2">
      <formula>0.10</formula>
    </cfRule>
  </conditionalFormatting>
  <pageMargins left="0.75" right="0.75" top="1" bottom="1" header="0.5" footer="0.5"/>
</worksheet>
</file>

<file path=xl/worksheets/sheet10.xml><?xml version="1.0" encoding="utf-8"?>
<worksheet xmlns="http://schemas.openxmlformats.org/spreadsheetml/2006/main">
  <sheetPr>
    <tabColor rgb="00006100"/>
    <outlinePr summaryBelow="1" summaryRight="1"/>
    <pageSetUpPr/>
  </sheetPr>
  <dimension ref="A1:J32"/>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c r="A1" s="47" t="inlineStr">
        <is>
          <t>Portfolio Findings &amp; Recommended Actions</t>
        </is>
      </c>
    </row>
    <row r="2">
      <c r="A2" s="34" t="inlineStr">
        <is>
          <t>Based on 12-month data analysis, January–December 2024</t>
        </is>
      </c>
    </row>
    <row r="4" ht="28" customHeight="1">
      <c r="A4" s="63" t="inlineStr">
        <is>
          <t>STG-02: Collections Problem, Not a Demand Problem</t>
        </is>
      </c>
      <c r="B4" s="64" t="n"/>
      <c r="C4" s="64" t="n"/>
      <c r="D4" s="64" t="n"/>
      <c r="E4" s="64" t="n"/>
      <c r="F4" s="64" t="n"/>
      <c r="G4" s="64" t="n"/>
      <c r="H4" s="64" t="n"/>
      <c r="I4" s="64" t="n"/>
      <c r="J4" s="64" t="n"/>
    </row>
    <row r="5" ht="30" customHeight="1">
      <c r="A5" s="65" t="inlineStr">
        <is>
          <t>SunState Storage | Self-Storage | Good occupancy but delinquency rising from approximately 7% to 13%</t>
        </is>
      </c>
      <c r="B5" s="64" t="n"/>
      <c r="C5" s="64" t="n"/>
      <c r="D5" s="64" t="n"/>
      <c r="E5" s="64" t="n"/>
      <c r="F5" s="64" t="n"/>
      <c r="G5" s="64" t="n"/>
      <c r="H5" s="64" t="n"/>
      <c r="I5" s="64" t="n"/>
      <c r="J5" s="64" t="n"/>
    </row>
    <row r="6" ht="55" customHeight="1">
      <c r="A6" s="66" t="inlineStr">
        <is>
          <t>Data shows: STG-02 maintained generally healthy occupancy, which suggests demand is not the primary issue. The bigger concern is the upward delinquency trend, meaning revenue leakage is coming from collections rather than lack of tenants.</t>
        </is>
      </c>
      <c r="B6" s="64" t="n"/>
      <c r="C6" s="64" t="n"/>
      <c r="D6" s="64" t="n"/>
      <c r="E6" s="64" t="n"/>
      <c r="F6" s="64" t="n"/>
      <c r="G6" s="64" t="n"/>
      <c r="H6" s="64" t="n"/>
      <c r="I6" s="64" t="n"/>
      <c r="J6" s="64" t="n"/>
    </row>
    <row r="7" ht="55" customHeight="1">
      <c r="A7" s="67" t="inlineStr">
        <is>
          <t>Recommended action: Review aged receivables, late-fee enforcement, payment reminders, and property-level collection workflows. The asset management team should work with property operations to reduce delinquency before it impacts NOI further.</t>
        </is>
      </c>
      <c r="B7" s="64" t="n"/>
      <c r="C7" s="64" t="n"/>
      <c r="D7" s="64" t="n"/>
      <c r="E7" s="64" t="n"/>
      <c r="F7" s="64" t="n"/>
      <c r="G7" s="64" t="n"/>
      <c r="H7" s="64" t="n"/>
      <c r="I7" s="64" t="n"/>
      <c r="J7" s="64" t="n"/>
    </row>
    <row r="9" ht="28" customHeight="1">
      <c r="A9" s="63" t="inlineStr">
        <is>
          <t>MHC-03: Dual-Flag Asset Requiring Immediate Operational Review</t>
        </is>
      </c>
      <c r="B9" s="64" t="n"/>
      <c r="C9" s="64" t="n"/>
      <c r="D9" s="64" t="n"/>
      <c r="E9" s="64" t="n"/>
      <c r="F9" s="64" t="n"/>
      <c r="G9" s="64" t="n"/>
      <c r="H9" s="64" t="n"/>
      <c r="I9" s="64" t="n"/>
      <c r="J9" s="64" t="n"/>
    </row>
    <row r="10" ht="30" customHeight="1">
      <c r="A10" s="65" t="inlineStr">
        <is>
          <t>Canyon Ridge | MHC | Low occupancy around 78–83% and high delinquency around 12–16%</t>
        </is>
      </c>
      <c r="B10" s="64" t="n"/>
      <c r="C10" s="64" t="n"/>
      <c r="D10" s="64" t="n"/>
      <c r="E10" s="64" t="n"/>
      <c r="F10" s="64" t="n"/>
      <c r="G10" s="64" t="n"/>
      <c r="H10" s="64" t="n"/>
      <c r="I10" s="64" t="n"/>
      <c r="J10" s="64" t="n"/>
    </row>
    <row r="11" ht="55" customHeight="1">
      <c r="A11" s="66" t="inlineStr">
        <is>
          <t>Data shows: MHC-03 is the weakest risk profile in the portfolio because it has both demand weakness and collections risk. This combination can pressure revenue, NOI, and investor reporting.</t>
        </is>
      </c>
      <c r="B11" s="64" t="n"/>
      <c r="C11" s="64" t="n"/>
      <c r="D11" s="64" t="n"/>
      <c r="E11" s="64" t="n"/>
      <c r="F11" s="64" t="n"/>
      <c r="G11" s="64" t="n"/>
      <c r="H11" s="64" t="n"/>
      <c r="I11" s="64" t="n"/>
      <c r="J11" s="64" t="n"/>
    </row>
    <row r="12" ht="55" customHeight="1">
      <c r="A12" s="67" t="inlineStr">
        <is>
          <t>Recommended action: Prioritize an operational review covering leasing activity, local market positioning, rent levels, resident retention, and collections. This property should be included in weekly asset management follow-up until both occupancy and delinquency stabilize.</t>
        </is>
      </c>
      <c r="B12" s="64" t="n"/>
      <c r="C12" s="64" t="n"/>
      <c r="D12" s="64" t="n"/>
      <c r="E12" s="64" t="n"/>
      <c r="F12" s="64" t="n"/>
      <c r="G12" s="64" t="n"/>
      <c r="H12" s="64" t="n"/>
      <c r="I12" s="64" t="n"/>
      <c r="J12" s="64" t="n"/>
    </row>
    <row r="14" ht="28" customHeight="1">
      <c r="A14" s="63" t="inlineStr">
        <is>
          <t>MHC-04: Portfolio Benchmark — Operational Best Practices Template</t>
        </is>
      </c>
      <c r="B14" s="64" t="n"/>
      <c r="C14" s="64" t="n"/>
      <c r="D14" s="64" t="n"/>
      <c r="E14" s="64" t="n"/>
      <c r="F14" s="64" t="n"/>
      <c r="G14" s="64" t="n"/>
      <c r="H14" s="64" t="n"/>
      <c r="I14" s="64" t="n"/>
      <c r="J14" s="64" t="n"/>
    </row>
    <row r="15" ht="30" customHeight="1">
      <c r="A15" s="65" t="inlineStr">
        <is>
          <t>Saguaro Estates | MHC | High occupancy, low delinquency, strong NOI margin</t>
        </is>
      </c>
      <c r="B15" s="64" t="n"/>
      <c r="C15" s="64" t="n"/>
      <c r="D15" s="64" t="n"/>
      <c r="E15" s="64" t="n"/>
      <c r="F15" s="64" t="n"/>
      <c r="G15" s="64" t="n"/>
      <c r="H15" s="64" t="n"/>
      <c r="I15" s="64" t="n"/>
      <c r="J15" s="64" t="n"/>
    </row>
    <row r="16" ht="55" customHeight="1">
      <c r="A16" s="66" t="inlineStr">
        <is>
          <t>Data shows: MHC-04 performs like a benchmark asset, with high occupancy, low delinquency, and strong profitability. This indicates strong property-level execution and stable resident demand.</t>
        </is>
      </c>
      <c r="B16" s="64" t="n"/>
      <c r="C16" s="64" t="n"/>
      <c r="D16" s="64" t="n"/>
      <c r="E16" s="64" t="n"/>
      <c r="F16" s="64" t="n"/>
      <c r="G16" s="64" t="n"/>
      <c r="H16" s="64" t="n"/>
      <c r="I16" s="64" t="n"/>
      <c r="J16" s="64" t="n"/>
    </row>
    <row r="17" ht="55" customHeight="1">
      <c r="A17" s="67" t="inlineStr">
        <is>
          <t>Recommended action: Use MHC-04 as an internal operating benchmark. Compare staffing, collections process, leasing practices, resident communication, and expense controls against weaker MHC assets.</t>
        </is>
      </c>
      <c r="B17" s="64" t="n"/>
      <c r="C17" s="64" t="n"/>
      <c r="D17" s="64" t="n"/>
      <c r="E17" s="64" t="n"/>
      <c r="F17" s="64" t="n"/>
      <c r="G17" s="64" t="n"/>
      <c r="H17" s="64" t="n"/>
      <c r="I17" s="64" t="n"/>
      <c r="J17" s="64" t="n"/>
    </row>
    <row r="19" ht="28" customHeight="1">
      <c r="A19" s="63" t="inlineStr">
        <is>
          <t>MHC-05: Value-Add Play — Track Against Pro Forma Monthly</t>
        </is>
      </c>
      <c r="B19" s="64" t="n"/>
      <c r="C19" s="64" t="n"/>
      <c r="D19" s="64" t="n"/>
      <c r="E19" s="64" t="n"/>
      <c r="F19" s="64" t="n"/>
      <c r="G19" s="64" t="n"/>
      <c r="H19" s="64" t="n"/>
      <c r="I19" s="64" t="n"/>
      <c r="J19" s="64" t="n"/>
    </row>
    <row r="20" ht="30" customHeight="1">
      <c r="A20" s="65" t="inlineStr">
        <is>
          <t>Pinon Pines | MHC | Occupancy improves from roughly 81% to 89% over the year</t>
        </is>
      </c>
      <c r="B20" s="64" t="n"/>
      <c r="C20" s="64" t="n"/>
      <c r="D20" s="64" t="n"/>
      <c r="E20" s="64" t="n"/>
      <c r="F20" s="64" t="n"/>
      <c r="G20" s="64" t="n"/>
      <c r="H20" s="64" t="n"/>
      <c r="I20" s="64" t="n"/>
      <c r="J20" s="64" t="n"/>
    </row>
    <row r="21" ht="55" customHeight="1">
      <c r="A21" s="66" t="inlineStr">
        <is>
          <t>Data shows: MHC-05 shows a positive value-add trend with improving occupancy, but it has not yet reached stabilized performance. The asset has rent upside and operational upside, making it a good candidate for active tracking.</t>
        </is>
      </c>
      <c r="B21" s="64" t="n"/>
      <c r="C21" s="64" t="n"/>
      <c r="D21" s="64" t="n"/>
      <c r="E21" s="64" t="n"/>
      <c r="F21" s="64" t="n"/>
      <c r="G21" s="64" t="n"/>
      <c r="H21" s="64" t="n"/>
      <c r="I21" s="64" t="n"/>
      <c r="J21" s="64" t="n"/>
    </row>
    <row r="22" ht="55" customHeight="1">
      <c r="A22" s="67" t="inlineStr">
        <is>
          <t>Recommended action: Track MHC-05 monthly against the acquisition pro forma, especially occupancy, rent growth, CapEx spend, and NOI margin. Management should confirm that renovation dollars are converting into occupancy gains and stronger cash flow.</t>
        </is>
      </c>
      <c r="B22" s="64" t="n"/>
      <c r="C22" s="64" t="n"/>
      <c r="D22" s="64" t="n"/>
      <c r="E22" s="64" t="n"/>
      <c r="F22" s="64" t="n"/>
      <c r="G22" s="64" t="n"/>
      <c r="H22" s="64" t="n"/>
      <c r="I22" s="64" t="n"/>
      <c r="J22" s="64" t="n"/>
    </row>
    <row r="24" ht="28" customHeight="1">
      <c r="A24" s="63" t="inlineStr">
        <is>
          <t>STG-03: Expense Ratio Drag — NOI Underperformance Despite Adequate Occupancy</t>
        </is>
      </c>
      <c r="B24" s="64" t="n"/>
      <c r="C24" s="64" t="n"/>
      <c r="D24" s="64" t="n"/>
      <c r="E24" s="64" t="n"/>
      <c r="F24" s="64" t="n"/>
      <c r="G24" s="64" t="n"/>
      <c r="H24" s="64" t="n"/>
      <c r="I24" s="64" t="n"/>
      <c r="J24" s="64" t="n"/>
    </row>
    <row r="25" ht="30" customHeight="1">
      <c r="A25" s="65" t="inlineStr">
        <is>
          <t>Desert Vault | Self-Storage | Expense ratio around 62–68%</t>
        </is>
      </c>
      <c r="B25" s="64" t="n"/>
      <c r="C25" s="64" t="n"/>
      <c r="D25" s="64" t="n"/>
      <c r="E25" s="64" t="n"/>
      <c r="F25" s="64" t="n"/>
      <c r="G25" s="64" t="n"/>
      <c r="H25" s="64" t="n"/>
      <c r="I25" s="64" t="n"/>
      <c r="J25" s="64" t="n"/>
    </row>
    <row r="26" ht="55" customHeight="1">
      <c r="A26" s="66" t="inlineStr">
        <is>
          <t>Data shows: STG-03 does not appear to be purely an occupancy problem. The high expense ratio is reducing NOI margin and making the property less profitable than it should be.</t>
        </is>
      </c>
      <c r="B26" s="64" t="n"/>
      <c r="C26" s="64" t="n"/>
      <c r="D26" s="64" t="n"/>
      <c r="E26" s="64" t="n"/>
      <c r="F26" s="64" t="n"/>
      <c r="G26" s="64" t="n"/>
      <c r="H26" s="64" t="n"/>
      <c r="I26" s="64" t="n"/>
      <c r="J26" s="64" t="n"/>
    </row>
    <row r="27" ht="55" customHeight="1">
      <c r="A27" s="67" t="inlineStr">
        <is>
          <t>Recommended action: Review controllable expenses such as repairs, payroll, utilities, vendor contracts, insurance, and recurring maintenance. The finance and asset management teams should isolate which expense categories are driving margin compression.</t>
        </is>
      </c>
      <c r="B27" s="64" t="n"/>
      <c r="C27" s="64" t="n"/>
      <c r="D27" s="64" t="n"/>
      <c r="E27" s="64" t="n"/>
      <c r="F27" s="64" t="n"/>
      <c r="G27" s="64" t="n"/>
      <c r="H27" s="64" t="n"/>
      <c r="I27" s="64" t="n"/>
      <c r="J27" s="64" t="n"/>
    </row>
    <row r="29" ht="28" customHeight="1">
      <c r="A29" s="63" t="inlineStr">
        <is>
          <t>MHC-07: Early Warning — Delinquency Trend Requires Collections Intervention Before It Escalates</t>
        </is>
      </c>
      <c r="B29" s="64" t="n"/>
      <c r="C29" s="64" t="n"/>
      <c r="D29" s="64" t="n"/>
      <c r="E29" s="64" t="n"/>
      <c r="F29" s="64" t="n"/>
      <c r="G29" s="64" t="n"/>
      <c r="H29" s="64" t="n"/>
      <c r="I29" s="64" t="n"/>
      <c r="J29" s="64" t="n"/>
    </row>
    <row r="30" ht="30" customHeight="1">
      <c r="A30" s="65" t="inlineStr">
        <is>
          <t>Mesa Vista | MHC | High occupancy but delinquency rising from approximately 5% to 11%</t>
        </is>
      </c>
      <c r="B30" s="64" t="n"/>
      <c r="C30" s="64" t="n"/>
      <c r="D30" s="64" t="n"/>
      <c r="E30" s="64" t="n"/>
      <c r="F30" s="64" t="n"/>
      <c r="G30" s="64" t="n"/>
      <c r="H30" s="64" t="n"/>
      <c r="I30" s="64" t="n"/>
      <c r="J30" s="64" t="n"/>
    </row>
    <row r="31" ht="55" customHeight="1">
      <c r="A31" s="66" t="inlineStr">
        <is>
          <t>Data shows: MHC-07 still has strong occupancy, but the delinquency trend is moving in the wrong direction. This is an early warning sign because the property looks healthy from an occupancy view but has growing collection risk.</t>
        </is>
      </c>
      <c r="B31" s="64" t="n"/>
      <c r="C31" s="64" t="n"/>
      <c r="D31" s="64" t="n"/>
      <c r="E31" s="64" t="n"/>
      <c r="F31" s="64" t="n"/>
      <c r="G31" s="64" t="n"/>
      <c r="H31" s="64" t="n"/>
      <c r="I31" s="64" t="n"/>
      <c r="J31" s="64" t="n"/>
    </row>
    <row r="32" ht="55" customHeight="1">
      <c r="A32" s="67" t="inlineStr">
        <is>
          <t>Recommended action: Intervene before the issue becomes critical by reviewing tenant aging buckets, payment plan usage, late-fee timing, and property manager follow-up. This should be treated as a collections process issue before assuming a demand issue.</t>
        </is>
      </c>
      <c r="B32" s="64" t="n"/>
      <c r="C32" s="64" t="n"/>
      <c r="D32" s="64" t="n"/>
      <c r="E32" s="64" t="n"/>
      <c r="F32" s="64" t="n"/>
      <c r="G32" s="64" t="n"/>
      <c r="H32" s="64" t="n"/>
      <c r="I32" s="64" t="n"/>
      <c r="J32" s="64" t="n"/>
    </row>
  </sheetData>
  <mergeCells count="26">
    <mergeCell ref="A5:J5"/>
    <mergeCell ref="A32:J32"/>
    <mergeCell ref="A14:J14"/>
    <mergeCell ref="A22:J22"/>
    <mergeCell ref="A17:J17"/>
    <mergeCell ref="A29:J29"/>
    <mergeCell ref="A4:J4"/>
    <mergeCell ref="A20:J20"/>
    <mergeCell ref="A10:J10"/>
    <mergeCell ref="A19:J19"/>
    <mergeCell ref="A31:J31"/>
    <mergeCell ref="A9:J9"/>
    <mergeCell ref="A30:J30"/>
    <mergeCell ref="A15:J15"/>
    <mergeCell ref="A24:J24"/>
    <mergeCell ref="A11:J11"/>
    <mergeCell ref="A1:J1"/>
    <mergeCell ref="A6:J6"/>
    <mergeCell ref="A7:J7"/>
    <mergeCell ref="A16:J16"/>
    <mergeCell ref="A25:J25"/>
    <mergeCell ref="A27:J27"/>
    <mergeCell ref="A21:J21"/>
    <mergeCell ref="A12:J12"/>
    <mergeCell ref="A26:J26"/>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2026-05-25T19:05:50Z</dcterms:created>
  <dcterms:modified xsi:type="dcterms:W3CDTF">2026-05-25T19:05:50Z</dcterms:modified>
</cp:coreProperties>
</file>